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Log" sheetId="1" state="visible" r:id="rId3"/>
    <sheet name="Senaryo Analizi" sheetId="2" state="visible" r:id="rId4"/>
    <sheet name="Halüsinasyon Deta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<sst xmlns="http://schemas.openxmlformats.org/spreadsheetml/2006/main" count="118" uniqueCount="104">
  <si>
    <t xml:space="preserve">AutoFix AI — QA Test Log</t>
  </si>
  <si>
    <t xml:space="preserve">Her test oturumu için bir satır doldurun. Sarı hücreler zorunlu alanlardır.</t>
  </si>
  <si>
    <t xml:space="preserve">Test ID</t>
  </si>
  <si>
    <t xml:space="preserve">Tarih</t>
  </si>
  <si>
    <t xml:space="preserve">Tester Adı</t>
  </si>
  <si>
    <t xml:space="preserve">Senaryo ID</t>
  </si>
  <si>
    <t xml:space="preserve">Senaryo Adı</t>
  </si>
  <si>
    <t xml:space="preserve">Araç / Arıza</t>
  </si>
  <si>
    <t xml:space="preserve">Zorluk</t>
  </si>
  <si>
    <t xml:space="preserve">Sonuç</t>
  </si>
  <si>
    <t xml:space="preserve">Mesaj Sayısı</t>
  </si>
  <si>
    <t xml:space="preserve">İpucu Kullanıldı?</t>
  </si>
  <si>
    <t xml:space="preserve">Halüsinasyon?</t>
  </si>
  <si>
    <t xml:space="preserve">Halüsinasyon Tipi</t>
  </si>
  <si>
    <t xml:space="preserve">Yanlış Parça</t>
  </si>
  <si>
    <t xml:space="preserve">Prompt Injection?</t>
  </si>
  <si>
    <t xml:space="preserve">Yanıt Dili Doğru?</t>
  </si>
  <si>
    <t xml:space="preserve">Süre (dk)</t>
  </si>
  <si>
    <t xml:space="preserve">Güven Skoru (1–5)</t>
  </si>
  <si>
    <t xml:space="preserve">Notlar</t>
  </si>
  <si>
    <t xml:space="preserve">Flag</t>
  </si>
  <si>
    <t xml:space="preserve">Senaryo Bazlı Başarı &amp; Halüsinasyon Analizi</t>
  </si>
  <si>
    <t xml:space="preserve">Test Log sayfasındaki verilerden otomatik hesaplanır. Senaryo ID'leri eşleşmelidir.</t>
  </si>
  <si>
    <t xml:space="preserve">Test Sayısı</t>
  </si>
  <si>
    <t xml:space="preserve">PASS</t>
  </si>
  <si>
    <t xml:space="preserve">FAIL</t>
  </si>
  <si>
    <t xml:space="preserve">PARTIAL</t>
  </si>
  <si>
    <t xml:space="preserve">Başarı Oranı %</t>
  </si>
  <si>
    <t xml:space="preserve">Ort. Mesaj</t>
  </si>
  <si>
    <t xml:space="preserve">Halüsinasyon Sayısı</t>
  </si>
  <si>
    <t xml:space="preserve">Hal. Oranı %</t>
  </si>
  <si>
    <t xml:space="preserve">Risk Seviyesi</t>
  </si>
  <si>
    <t xml:space="preserve">S01</t>
  </si>
  <si>
    <t xml:space="preserve">Motor Çalışmıyor</t>
  </si>
  <si>
    <t xml:space="preserve">Benzinli – Ateşleme</t>
  </si>
  <si>
    <t xml:space="preserve">S02</t>
  </si>
  <si>
    <t xml:space="preserve">Aşırı Isınma</t>
  </si>
  <si>
    <t xml:space="preserve">Soğutma Sistemi</t>
  </si>
  <si>
    <t xml:space="preserve">S03</t>
  </si>
  <si>
    <t xml:space="preserve">Fren Titremesi</t>
  </si>
  <si>
    <t xml:space="preserve">Fren Sistemi</t>
  </si>
  <si>
    <t xml:space="preserve">S04</t>
  </si>
  <si>
    <t xml:space="preserve">Egzoz Dumanı</t>
  </si>
  <si>
    <t xml:space="preserve">Motor – Yağ Sızıntısı</t>
  </si>
  <si>
    <t xml:space="preserve">S05</t>
  </si>
  <si>
    <t xml:space="preserve">Şanzıman Kayması</t>
  </si>
  <si>
    <t xml:space="preserve">Otomatik Şanzıman</t>
  </si>
  <si>
    <t xml:space="preserve">S06</t>
  </si>
  <si>
    <t xml:space="preserve">Akü Sorunu</t>
  </si>
  <si>
    <t xml:space="preserve">Elektrik – Akü/Alternatör</t>
  </si>
  <si>
    <t xml:space="preserve">S07</t>
  </si>
  <si>
    <t xml:space="preserve">A/C Soğutmuyor</t>
  </si>
  <si>
    <t xml:space="preserve">Klima Sistemi</t>
  </si>
  <si>
    <t xml:space="preserve">S08</t>
  </si>
  <si>
    <t xml:space="preserve">Sert Vites</t>
  </si>
  <si>
    <t xml:space="preserve">Manuel Şanzıman</t>
  </si>
  <si>
    <t xml:space="preserve">S09</t>
  </si>
  <si>
    <t xml:space="preserve">Check Engine Işığı</t>
  </si>
  <si>
    <t xml:space="preserve">OBD – Genel</t>
  </si>
  <si>
    <t xml:space="preserve">S10</t>
  </si>
  <si>
    <t xml:space="preserve">Direksiyon Titremesi</t>
  </si>
  <si>
    <t xml:space="preserve">Süspansiyon/Balans</t>
  </si>
  <si>
    <t xml:space="preserve">S11</t>
  </si>
  <si>
    <t xml:space="preserve">Yakıt Sarfiyatı Yüksek</t>
  </si>
  <si>
    <t xml:space="preserve">Yakıt Sistemi</t>
  </si>
  <si>
    <t xml:space="preserve">S12</t>
  </si>
  <si>
    <t xml:space="preserve">Motor Sesi / Tıkırtı</t>
  </si>
  <si>
    <t xml:space="preserve">Motor – Mekanik</t>
  </si>
  <si>
    <t xml:space="preserve">S13</t>
  </si>
  <si>
    <t xml:space="preserve">ABS Uyarısı</t>
  </si>
  <si>
    <t xml:space="preserve">ABS / Fren Elektroniği</t>
  </si>
  <si>
    <t xml:space="preserve">S14</t>
  </si>
  <si>
    <t xml:space="preserve">Far Çalışmıyor</t>
  </si>
  <si>
    <t xml:space="preserve">Elektrik – Aydınlatma</t>
  </si>
  <si>
    <t xml:space="preserve">S15</t>
  </si>
  <si>
    <t xml:space="preserve">Starterde Tık Sesi</t>
  </si>
  <si>
    <t xml:space="preserve">Elektrik – Marş</t>
  </si>
  <si>
    <t xml:space="preserve">Halüsinasyon Detay Kaydı</t>
  </si>
  <si>
    <t xml:space="preserve">Halüsinasyon tespit edilen her vaka için ayrı satır doldurun. Test ID, Test Log ile eşleşmelidir.</t>
  </si>
  <si>
    <t xml:space="preserve">Tester</t>
  </si>
  <si>
    <t xml:space="preserve">AI Yanıtı (özet)</t>
  </si>
  <si>
    <t xml:space="preserve">Doğru Cevap Neydi?</t>
  </si>
  <si>
    <t xml:space="preserve">Tetikleyen Mesaj</t>
  </si>
  <si>
    <t xml:space="preserve">Katman (Giriş/Çıkış/Prompt)</t>
  </si>
  <si>
    <t xml:space="preserve">Aksiyon</t>
  </si>
  <si>
    <t xml:space="preserve">AutoFix AI — Test Dashboard</t>
  </si>
  <si>
    <t xml:space="preserve">Senaryo Analizi ve Test Log sayfalarından otomatik güncellenir</t>
  </si>
  <si>
    <t xml:space="preserve">Toplam Test</t>
  </si>
  <si>
    <t xml:space="preserve">Başarı Oranı</t>
  </si>
  <si>
    <t xml:space="preserve">Halüsinasyon</t>
  </si>
  <si>
    <t xml:space="preserve">Hal. Oranı</t>
  </si>
  <si>
    <t xml:space="preserve">Senaryo Başarı Oranları</t>
  </si>
  <si>
    <t xml:space="preserve">Halüsinasyon Tip Dağılımı</t>
  </si>
  <si>
    <t xml:space="preserve">Test</t>
  </si>
  <si>
    <t xml:space="preserve">Başarı %</t>
  </si>
  <si>
    <t xml:space="preserve">Risk</t>
  </si>
  <si>
    <t xml:space="preserve">Tip</t>
  </si>
  <si>
    <t xml:space="preserve">Adet</t>
  </si>
  <si>
    <t xml:space="preserve">Uydurma Parça</t>
  </si>
  <si>
    <t xml:space="preserve">Yanlış Teşhis</t>
  </si>
  <si>
    <t xml:space="preserve">Protokol Dışı</t>
  </si>
  <si>
    <t xml:space="preserve">Dil Karışımı</t>
  </si>
  <si>
    <t xml:space="preserve">Diğer</t>
  </si>
  <si>
    <t xml:space="preserve">KULLANIM KILAVUZU
1. Test Log → Her test için bir satır doldur
2. Halüsinasyon varsa 'Evet' işaretle + tipi seç
3. Halüsinasyon Detay → Ayrıntılı kayıt gir
4. Dashboard otomatik güncellenir
5. 🚩 flagli satırlar öncelikli incelenmeli
Risk Seviyeleri:
🔴 Yüksek  → Hal. oranı &gt; %30
🟡 Orta    → Hal. oranı %10–30
🟢 Düşük   → Hal. oranı &lt; %10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</si>
</sst>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"/>
    <numFmt numFmtId="167" formatCode="0.0"/>
    <numFmt numFmtId="168" formatCode="General"/>
    <numFmt numFmtId="169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2C3E5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8"/>
      <color rgb="FF2C3E50"/>
      <name val="Arial"/>
      <family val="0"/>
      <charset val="1"/>
    </font>
    <font>
      <b val="true"/>
      <sz val="18"/>
      <color rgb="FF27AE60"/>
      <name val="Arial"/>
      <family val="0"/>
      <charset val="1"/>
    </font>
    <font>
      <b val="true"/>
      <sz val="18"/>
      <color rgb="FFE74C3C"/>
      <name val="Arial"/>
      <family val="0"/>
      <charset val="1"/>
    </font>
    <font>
      <b val="true"/>
      <sz val="18"/>
      <color rgb="FFF39C12"/>
      <name val="Arial"/>
      <family val="0"/>
      <charset val="1"/>
    </font>
    <font>
      <b val="true"/>
      <sz val="18"/>
      <color rgb="FFE9456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6213E"/>
      </patternFill>
    </fill>
    <fill>
      <patternFill patternType="solid">
        <fgColor rgb="FFEBF5FB"/>
        <bgColor rgb="FFF2F4F7"/>
      </patternFill>
    </fill>
    <fill>
      <patternFill patternType="solid">
        <fgColor rgb="FF0F3460"/>
        <bgColor rgb="FF2C3E50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F2F4F7"/>
        <bgColor rgb="FFEBF5FB"/>
      </patternFill>
    </fill>
    <fill>
      <patternFill patternType="solid">
        <fgColor rgb="FFE94560"/>
        <bgColor rgb="FFE74C3C"/>
      </patternFill>
    </fill>
    <fill>
      <patternFill patternType="solid">
        <fgColor rgb="FFFDEDEC"/>
        <bgColor rgb="FFF9EBEA"/>
      </patternFill>
    </fill>
    <fill>
      <patternFill patternType="solid">
        <fgColor rgb="FFF9EBEA"/>
        <bgColor rgb="FFFDEDEC"/>
      </patternFill>
    </fill>
    <fill>
      <patternFill patternType="solid">
        <fgColor rgb="FF16213E"/>
        <bgColor rgb="FF0D1B2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74C3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EBEA"/>
      <rgbColor rgb="FF7F8C8D"/>
      <rgbColor rgb="FF9999FF"/>
      <rgbColor rgb="FFE94560"/>
      <rgbColor rgb="FFFFFDE7"/>
      <rgbColor rgb="FFEBF5F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5F5E3"/>
      <rgbColor rgb="FFFDEBD0"/>
      <rgbColor rgb="FFFDEDEC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F3460"/>
      <rgbColor rgb="FF27AE60"/>
      <rgbColor rgb="FF0D1B2A"/>
      <rgbColor rgb="FF16213E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3" min="12" style="0" width="22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40"/>
    <col collapsed="false" customWidth="true" hidden="false" outlineLevel="0" max="19" min="19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str">
        <f aca="false">IF(B5="","",ROW()-4)</f>
        <v/>
      </c>
      <c r="B5" s="5"/>
      <c r="C5" s="6"/>
      <c r="D5" s="6"/>
      <c r="E5" s="7"/>
      <c r="F5" s="7"/>
      <c r="G5" s="6"/>
      <c r="H5" s="6"/>
      <c r="I5" s="8"/>
      <c r="J5" s="9"/>
      <c r="K5" s="6"/>
      <c r="L5" s="10"/>
      <c r="M5" s="10"/>
      <c r="N5" s="6"/>
      <c r="O5" s="6"/>
      <c r="P5" s="11"/>
      <c r="Q5" s="8"/>
      <c r="R5" s="10"/>
      <c r="S5" s="12" t="str">
        <f aca="false">IF(OR(K5="Evet",N5="Evet",H5="FAIL"),"🚩","")</f>
        <v/>
      </c>
    </row>
    <row r="6" customFormat="false" ht="15" hidden="false" customHeight="false" outlineLevel="0" collapsed="false">
      <c r="A6" s="4" t="str">
        <f aca="false">IF(B6="","",ROW()-4)</f>
        <v/>
      </c>
      <c r="B6" s="5"/>
      <c r="C6" s="6"/>
      <c r="D6" s="6"/>
      <c r="E6" s="7"/>
      <c r="F6" s="7"/>
      <c r="G6" s="6"/>
      <c r="H6" s="6"/>
      <c r="I6" s="8"/>
      <c r="J6" s="9"/>
      <c r="K6" s="6"/>
      <c r="L6" s="10"/>
      <c r="M6" s="10"/>
      <c r="N6" s="6"/>
      <c r="O6" s="6"/>
      <c r="P6" s="11"/>
      <c r="Q6" s="8"/>
      <c r="R6" s="10"/>
      <c r="S6" s="12" t="str">
        <f aca="false">IF(OR(K6="Evet",N6="Evet",H6="FAIL"),"🚩","")</f>
        <v/>
      </c>
    </row>
    <row r="7" customFormat="false" ht="15" hidden="false" customHeight="false" outlineLevel="0" collapsed="false">
      <c r="A7" s="4" t="str">
        <f aca="false">IF(B7="","",ROW()-4)</f>
        <v/>
      </c>
      <c r="B7" s="5"/>
      <c r="C7" s="6"/>
      <c r="D7" s="6"/>
      <c r="E7" s="7"/>
      <c r="F7" s="7"/>
      <c r="G7" s="6"/>
      <c r="H7" s="6"/>
      <c r="I7" s="8"/>
      <c r="J7" s="9"/>
      <c r="K7" s="6"/>
      <c r="L7" s="10"/>
      <c r="M7" s="10"/>
      <c r="N7" s="6"/>
      <c r="O7" s="6"/>
      <c r="P7" s="11"/>
      <c r="Q7" s="8"/>
      <c r="R7" s="10"/>
      <c r="S7" s="12" t="str">
        <f aca="false">IF(OR(K7="Evet",N7="Evet",H7="FAIL"),"🚩","")</f>
        <v/>
      </c>
    </row>
    <row r="8" customFormat="false" ht="15" hidden="false" customHeight="false" outlineLevel="0" collapsed="false">
      <c r="A8" s="4" t="str">
        <f aca="false">IF(B8="","",ROW()-4)</f>
        <v/>
      </c>
      <c r="B8" s="5"/>
      <c r="C8" s="6"/>
      <c r="D8" s="6"/>
      <c r="E8" s="7"/>
      <c r="F8" s="7"/>
      <c r="G8" s="6"/>
      <c r="H8" s="6"/>
      <c r="I8" s="8"/>
      <c r="J8" s="9"/>
      <c r="K8" s="6"/>
      <c r="L8" s="10"/>
      <c r="M8" s="10"/>
      <c r="N8" s="6"/>
      <c r="O8" s="6"/>
      <c r="P8" s="11"/>
      <c r="Q8" s="8"/>
      <c r="R8" s="10"/>
      <c r="S8" s="12" t="str">
        <f aca="false">IF(OR(K8="Evet",N8="Evet",H8="FAIL"),"🚩","")</f>
        <v/>
      </c>
    </row>
    <row r="9" customFormat="false" ht="15" hidden="false" customHeight="false" outlineLevel="0" collapsed="false">
      <c r="A9" s="4" t="str">
        <f aca="false">IF(B9="","",ROW()-4)</f>
        <v/>
      </c>
      <c r="B9" s="5"/>
      <c r="C9" s="6"/>
      <c r="D9" s="6"/>
      <c r="E9" s="7"/>
      <c r="F9" s="7"/>
      <c r="G9" s="6"/>
      <c r="H9" s="6"/>
      <c r="I9" s="8"/>
      <c r="J9" s="9"/>
      <c r="K9" s="6"/>
      <c r="L9" s="10"/>
      <c r="M9" s="10"/>
      <c r="N9" s="6"/>
      <c r="O9" s="6"/>
      <c r="P9" s="11"/>
      <c r="Q9" s="8"/>
      <c r="R9" s="10"/>
      <c r="S9" s="12" t="str">
        <f aca="false">IF(OR(K9="Evet",N9="Evet",H9="FAIL"),"🚩","")</f>
        <v/>
      </c>
    </row>
    <row r="10" customFormat="false" ht="15" hidden="false" customHeight="false" outlineLevel="0" collapsed="false">
      <c r="A10" s="4" t="str">
        <f aca="false">IF(B10="","",ROW()-4)</f>
        <v/>
      </c>
      <c r="B10" s="5"/>
      <c r="C10" s="6"/>
      <c r="D10" s="6"/>
      <c r="E10" s="7"/>
      <c r="F10" s="7"/>
      <c r="G10" s="6"/>
      <c r="H10" s="6"/>
      <c r="I10" s="8"/>
      <c r="J10" s="9"/>
      <c r="K10" s="6"/>
      <c r="L10" s="10"/>
      <c r="M10" s="10"/>
      <c r="N10" s="6"/>
      <c r="O10" s="6"/>
      <c r="P10" s="11"/>
      <c r="Q10" s="8"/>
      <c r="R10" s="10"/>
      <c r="S10" s="12" t="str">
        <f aca="false">IF(OR(K10="Evet",N10="Evet",H10="FAIL"),"🚩","")</f>
        <v/>
      </c>
    </row>
    <row r="11" customFormat="false" ht="15" hidden="false" customHeight="false" outlineLevel="0" collapsed="false">
      <c r="A11" s="4" t="str">
        <f aca="false">IF(B11="","",ROW()-4)</f>
        <v/>
      </c>
      <c r="B11" s="5"/>
      <c r="C11" s="6"/>
      <c r="D11" s="6"/>
      <c r="E11" s="7"/>
      <c r="F11" s="7"/>
      <c r="G11" s="6"/>
      <c r="H11" s="6"/>
      <c r="I11" s="8"/>
      <c r="J11" s="9"/>
      <c r="K11" s="6"/>
      <c r="L11" s="10"/>
      <c r="M11" s="10"/>
      <c r="N11" s="6"/>
      <c r="O11" s="6"/>
      <c r="P11" s="11"/>
      <c r="Q11" s="8"/>
      <c r="R11" s="10"/>
      <c r="S11" s="12" t="str">
        <f aca="false">IF(OR(K11="Evet",N11="Evet",H11="FAIL"),"🚩","")</f>
        <v/>
      </c>
    </row>
    <row r="12" customFormat="false" ht="15" hidden="false" customHeight="false" outlineLevel="0" collapsed="false">
      <c r="A12" s="4" t="str">
        <f aca="false">IF(B12="","",ROW()-4)</f>
        <v/>
      </c>
      <c r="B12" s="5"/>
      <c r="C12" s="6"/>
      <c r="D12" s="6"/>
      <c r="E12" s="7"/>
      <c r="F12" s="7"/>
      <c r="G12" s="6"/>
      <c r="H12" s="6"/>
      <c r="I12" s="8"/>
      <c r="J12" s="9"/>
      <c r="K12" s="6"/>
      <c r="L12" s="10"/>
      <c r="M12" s="10"/>
      <c r="N12" s="6"/>
      <c r="O12" s="6"/>
      <c r="P12" s="11"/>
      <c r="Q12" s="8"/>
      <c r="R12" s="10"/>
      <c r="S12" s="12" t="str">
        <f aca="false">IF(OR(K12="Evet",N12="Evet",H12="FAIL"),"🚩","")</f>
        <v/>
      </c>
    </row>
    <row r="13" customFormat="false" ht="15" hidden="false" customHeight="false" outlineLevel="0" collapsed="false">
      <c r="A13" s="4" t="str">
        <f aca="false">IF(B13="","",ROW()-4)</f>
        <v/>
      </c>
      <c r="B13" s="5"/>
      <c r="C13" s="6"/>
      <c r="D13" s="6"/>
      <c r="E13" s="7"/>
      <c r="F13" s="7"/>
      <c r="G13" s="6"/>
      <c r="H13" s="6"/>
      <c r="I13" s="8"/>
      <c r="J13" s="9"/>
      <c r="K13" s="6"/>
      <c r="L13" s="10"/>
      <c r="M13" s="10"/>
      <c r="N13" s="6"/>
      <c r="O13" s="6"/>
      <c r="P13" s="11"/>
      <c r="Q13" s="8"/>
      <c r="R13" s="10"/>
      <c r="S13" s="12" t="str">
        <f aca="false">IF(OR(K13="Evet",N13="Evet",H13="FAIL"),"🚩","")</f>
        <v/>
      </c>
    </row>
    <row r="14" customFormat="false" ht="15" hidden="false" customHeight="false" outlineLevel="0" collapsed="false">
      <c r="A14" s="4" t="str">
        <f aca="false">IF(B14="","",ROW()-4)</f>
        <v/>
      </c>
      <c r="B14" s="5"/>
      <c r="C14" s="6"/>
      <c r="D14" s="6"/>
      <c r="E14" s="7"/>
      <c r="F14" s="7"/>
      <c r="G14" s="6"/>
      <c r="H14" s="6"/>
      <c r="I14" s="8"/>
      <c r="J14" s="9"/>
      <c r="K14" s="6"/>
      <c r="L14" s="10"/>
      <c r="M14" s="10"/>
      <c r="N14" s="6"/>
      <c r="O14" s="6"/>
      <c r="P14" s="11"/>
      <c r="Q14" s="8"/>
      <c r="R14" s="10"/>
      <c r="S14" s="12" t="str">
        <f aca="false">IF(OR(K14="Evet",N14="Evet",H14="FAIL"),"🚩","")</f>
        <v/>
      </c>
    </row>
    <row r="15" customFormat="false" ht="15" hidden="false" customHeight="false" outlineLevel="0" collapsed="false">
      <c r="A15" s="4" t="str">
        <f aca="false">IF(B15="","",ROW()-4)</f>
        <v/>
      </c>
      <c r="B15" s="5"/>
      <c r="C15" s="6"/>
      <c r="D15" s="6"/>
      <c r="E15" s="7"/>
      <c r="F15" s="7"/>
      <c r="G15" s="6"/>
      <c r="H15" s="6"/>
      <c r="I15" s="8"/>
      <c r="J15" s="9"/>
      <c r="K15" s="6"/>
      <c r="L15" s="10"/>
      <c r="M15" s="10"/>
      <c r="N15" s="6"/>
      <c r="O15" s="6"/>
      <c r="P15" s="11"/>
      <c r="Q15" s="8"/>
      <c r="R15" s="10"/>
      <c r="S15" s="12" t="str">
        <f aca="false">IF(OR(K15="Evet",N15="Evet",H15="FAIL"),"🚩","")</f>
        <v/>
      </c>
    </row>
    <row r="16" customFormat="false" ht="15" hidden="false" customHeight="false" outlineLevel="0" collapsed="false">
      <c r="A16" s="4" t="str">
        <f aca="false">IF(B16="","",ROW()-4)</f>
        <v/>
      </c>
      <c r="B16" s="5"/>
      <c r="C16" s="6"/>
      <c r="D16" s="6"/>
      <c r="E16" s="7"/>
      <c r="F16" s="7"/>
      <c r="G16" s="6"/>
      <c r="H16" s="6"/>
      <c r="I16" s="8"/>
      <c r="J16" s="9"/>
      <c r="K16" s="6"/>
      <c r="L16" s="10"/>
      <c r="M16" s="10"/>
      <c r="N16" s="6"/>
      <c r="O16" s="6"/>
      <c r="P16" s="11"/>
      <c r="Q16" s="8"/>
      <c r="R16" s="10"/>
      <c r="S16" s="12" t="str">
        <f aca="false">IF(OR(K16="Evet",N16="Evet",H16="FAIL"),"🚩","")</f>
        <v/>
      </c>
    </row>
    <row r="17" customFormat="false" ht="15" hidden="false" customHeight="false" outlineLevel="0" collapsed="false">
      <c r="A17" s="4" t="str">
        <f aca="false">IF(B17="","",ROW()-4)</f>
        <v/>
      </c>
      <c r="B17" s="5"/>
      <c r="C17" s="6"/>
      <c r="D17" s="6"/>
      <c r="E17" s="7"/>
      <c r="F17" s="7"/>
      <c r="G17" s="6"/>
      <c r="H17" s="6"/>
      <c r="I17" s="8"/>
      <c r="J17" s="9"/>
      <c r="K17" s="6"/>
      <c r="L17" s="10"/>
      <c r="M17" s="10"/>
      <c r="N17" s="6"/>
      <c r="O17" s="6"/>
      <c r="P17" s="11"/>
      <c r="Q17" s="8"/>
      <c r="R17" s="10"/>
      <c r="S17" s="12" t="str">
        <f aca="false">IF(OR(K17="Evet",N17="Evet",H17="FAIL"),"🚩","")</f>
        <v/>
      </c>
    </row>
    <row r="18" customFormat="false" ht="15" hidden="false" customHeight="false" outlineLevel="0" collapsed="false">
      <c r="A18" s="4" t="str">
        <f aca="false">IF(B18="","",ROW()-4)</f>
        <v/>
      </c>
      <c r="B18" s="5"/>
      <c r="C18" s="6"/>
      <c r="D18" s="6"/>
      <c r="E18" s="7"/>
      <c r="F18" s="7"/>
      <c r="G18" s="6"/>
      <c r="H18" s="6"/>
      <c r="I18" s="8"/>
      <c r="J18" s="9"/>
      <c r="K18" s="6"/>
      <c r="L18" s="10"/>
      <c r="M18" s="10"/>
      <c r="N18" s="6"/>
      <c r="O18" s="6"/>
      <c r="P18" s="11"/>
      <c r="Q18" s="8"/>
      <c r="R18" s="10"/>
      <c r="S18" s="12" t="str">
        <f aca="false">IF(OR(K18="Evet",N18="Evet",H18="FAIL"),"🚩","")</f>
        <v/>
      </c>
    </row>
    <row r="19" customFormat="false" ht="15" hidden="false" customHeight="false" outlineLevel="0" collapsed="false">
      <c r="A19" s="4" t="str">
        <f aca="false">IF(B19="","",ROW()-4)</f>
        <v/>
      </c>
      <c r="B19" s="5"/>
      <c r="C19" s="6"/>
      <c r="D19" s="6"/>
      <c r="E19" s="7"/>
      <c r="F19" s="7"/>
      <c r="G19" s="6"/>
      <c r="H19" s="6"/>
      <c r="I19" s="8"/>
      <c r="J19" s="9"/>
      <c r="K19" s="6"/>
      <c r="L19" s="10"/>
      <c r="M19" s="10"/>
      <c r="N19" s="6"/>
      <c r="O19" s="6"/>
      <c r="P19" s="11"/>
      <c r="Q19" s="8"/>
      <c r="R19" s="10"/>
      <c r="S19" s="12" t="str">
        <f aca="false">IF(OR(K19="Evet",N19="Evet",H19="FAIL"),"🚩","")</f>
        <v/>
      </c>
    </row>
    <row r="20" customFormat="false" ht="15" hidden="false" customHeight="false" outlineLevel="0" collapsed="false">
      <c r="A20" s="4" t="str">
        <f aca="false">IF(B20="","",ROW()-4)</f>
        <v/>
      </c>
      <c r="B20" s="5"/>
      <c r="C20" s="6"/>
      <c r="D20" s="6"/>
      <c r="E20" s="7"/>
      <c r="F20" s="7"/>
      <c r="G20" s="6"/>
      <c r="H20" s="6"/>
      <c r="I20" s="8"/>
      <c r="J20" s="9"/>
      <c r="K20" s="6"/>
      <c r="L20" s="10"/>
      <c r="M20" s="10"/>
      <c r="N20" s="6"/>
      <c r="O20" s="6"/>
      <c r="P20" s="11"/>
      <c r="Q20" s="8"/>
      <c r="R20" s="10"/>
      <c r="S20" s="12" t="str">
        <f aca="false">IF(OR(K20="Evet",N20="Evet",H20="FAIL"),"🚩","")</f>
        <v/>
      </c>
    </row>
    <row r="21" customFormat="false" ht="15" hidden="false" customHeight="false" outlineLevel="0" collapsed="false">
      <c r="A21" s="4" t="str">
        <f aca="false">IF(B21="","",ROW()-4)</f>
        <v/>
      </c>
      <c r="B21" s="5"/>
      <c r="C21" s="6"/>
      <c r="D21" s="6"/>
      <c r="E21" s="7"/>
      <c r="F21" s="7"/>
      <c r="G21" s="6"/>
      <c r="H21" s="6"/>
      <c r="I21" s="8"/>
      <c r="J21" s="9"/>
      <c r="K21" s="6"/>
      <c r="L21" s="10"/>
      <c r="M21" s="10"/>
      <c r="N21" s="6"/>
      <c r="O21" s="6"/>
      <c r="P21" s="11"/>
      <c r="Q21" s="8"/>
      <c r="R21" s="10"/>
      <c r="S21" s="12" t="str">
        <f aca="false">IF(OR(K21="Evet",N21="Evet",H21="FAIL"),"🚩","")</f>
        <v/>
      </c>
    </row>
    <row r="22" customFormat="false" ht="15" hidden="false" customHeight="false" outlineLevel="0" collapsed="false">
      <c r="A22" s="4" t="str">
        <f aca="false">IF(B22="","",ROW()-4)</f>
        <v/>
      </c>
      <c r="B22" s="5"/>
      <c r="C22" s="6"/>
      <c r="D22" s="6"/>
      <c r="E22" s="7"/>
      <c r="F22" s="7"/>
      <c r="G22" s="6"/>
      <c r="H22" s="6"/>
      <c r="I22" s="8"/>
      <c r="J22" s="9"/>
      <c r="K22" s="6"/>
      <c r="L22" s="10"/>
      <c r="M22" s="10"/>
      <c r="N22" s="6"/>
      <c r="O22" s="6"/>
      <c r="P22" s="11"/>
      <c r="Q22" s="8"/>
      <c r="R22" s="10"/>
      <c r="S22" s="12" t="str">
        <f aca="false">IF(OR(K22="Evet",N22="Evet",H22="FAIL"),"🚩","")</f>
        <v/>
      </c>
    </row>
    <row r="23" customFormat="false" ht="15" hidden="false" customHeight="false" outlineLevel="0" collapsed="false">
      <c r="A23" s="4" t="str">
        <f aca="false">IF(B23="","",ROW()-4)</f>
        <v/>
      </c>
      <c r="B23" s="5"/>
      <c r="C23" s="6"/>
      <c r="D23" s="6"/>
      <c r="E23" s="7"/>
      <c r="F23" s="7"/>
      <c r="G23" s="6"/>
      <c r="H23" s="6"/>
      <c r="I23" s="8"/>
      <c r="J23" s="9"/>
      <c r="K23" s="6"/>
      <c r="L23" s="10"/>
      <c r="M23" s="10"/>
      <c r="N23" s="6"/>
      <c r="O23" s="6"/>
      <c r="P23" s="11"/>
      <c r="Q23" s="8"/>
      <c r="R23" s="10"/>
      <c r="S23" s="12" t="str">
        <f aca="false">IF(OR(K23="Evet",N23="Evet",H23="FAIL"),"🚩","")</f>
        <v/>
      </c>
    </row>
    <row r="24" customFormat="false" ht="15" hidden="false" customHeight="false" outlineLevel="0" collapsed="false">
      <c r="A24" s="4" t="str">
        <f aca="false">IF(B24="","",ROW()-4)</f>
        <v/>
      </c>
      <c r="B24" s="5"/>
      <c r="C24" s="6"/>
      <c r="D24" s="6"/>
      <c r="E24" s="7"/>
      <c r="F24" s="7"/>
      <c r="G24" s="6"/>
      <c r="H24" s="6"/>
      <c r="I24" s="8"/>
      <c r="J24" s="9"/>
      <c r="K24" s="6"/>
      <c r="L24" s="10"/>
      <c r="M24" s="10"/>
      <c r="N24" s="6"/>
      <c r="O24" s="6"/>
      <c r="P24" s="11"/>
      <c r="Q24" s="8"/>
      <c r="R24" s="10"/>
      <c r="S24" s="12" t="str">
        <f aca="false">IF(OR(K24="Evet",N24="Evet",H24="FAIL"),"🚩","")</f>
        <v/>
      </c>
    </row>
    <row r="25" customFormat="false" ht="15" hidden="false" customHeight="false" outlineLevel="0" collapsed="false">
      <c r="A25" s="4" t="str">
        <f aca="false">IF(B25="","",ROW()-4)</f>
        <v/>
      </c>
      <c r="B25" s="5"/>
      <c r="C25" s="6"/>
      <c r="D25" s="6"/>
      <c r="E25" s="7"/>
      <c r="F25" s="7"/>
      <c r="G25" s="6"/>
      <c r="H25" s="6"/>
      <c r="I25" s="8"/>
      <c r="J25" s="9"/>
      <c r="K25" s="6"/>
      <c r="L25" s="10"/>
      <c r="M25" s="10"/>
      <c r="N25" s="6"/>
      <c r="O25" s="6"/>
      <c r="P25" s="11"/>
      <c r="Q25" s="8"/>
      <c r="R25" s="10"/>
      <c r="S25" s="12" t="str">
        <f aca="false">IF(OR(K25="Evet",N25="Evet",H25="FAIL"),"🚩","")</f>
        <v/>
      </c>
    </row>
    <row r="26" customFormat="false" ht="15" hidden="false" customHeight="false" outlineLevel="0" collapsed="false">
      <c r="A26" s="4" t="str">
        <f aca="false">IF(B26="","",ROW()-4)</f>
        <v/>
      </c>
      <c r="B26" s="5"/>
      <c r="C26" s="6"/>
      <c r="D26" s="6"/>
      <c r="E26" s="7"/>
      <c r="F26" s="7"/>
      <c r="G26" s="6"/>
      <c r="H26" s="6"/>
      <c r="I26" s="8"/>
      <c r="J26" s="9"/>
      <c r="K26" s="6"/>
      <c r="L26" s="10"/>
      <c r="M26" s="10"/>
      <c r="N26" s="6"/>
      <c r="O26" s="6"/>
      <c r="P26" s="11"/>
      <c r="Q26" s="8"/>
      <c r="R26" s="10"/>
      <c r="S26" s="12" t="str">
        <f aca="false">IF(OR(K26="Evet",N26="Evet",H26="FAIL"),"🚩","")</f>
        <v/>
      </c>
    </row>
    <row r="27" customFormat="false" ht="15" hidden="false" customHeight="false" outlineLevel="0" collapsed="false">
      <c r="A27" s="4" t="str">
        <f aca="false">IF(B27="","",ROW()-4)</f>
        <v/>
      </c>
      <c r="B27" s="5"/>
      <c r="C27" s="6"/>
      <c r="D27" s="6"/>
      <c r="E27" s="7"/>
      <c r="F27" s="7"/>
      <c r="G27" s="6"/>
      <c r="H27" s="6"/>
      <c r="I27" s="8"/>
      <c r="J27" s="9"/>
      <c r="K27" s="6"/>
      <c r="L27" s="10"/>
      <c r="M27" s="10"/>
      <c r="N27" s="6"/>
      <c r="O27" s="6"/>
      <c r="P27" s="11"/>
      <c r="Q27" s="8"/>
      <c r="R27" s="10"/>
      <c r="S27" s="12" t="str">
        <f aca="false">IF(OR(K27="Evet",N27="Evet",H27="FAIL"),"🚩","")</f>
        <v/>
      </c>
    </row>
    <row r="28" customFormat="false" ht="15" hidden="false" customHeight="false" outlineLevel="0" collapsed="false">
      <c r="A28" s="4" t="str">
        <f aca="false">IF(B28="","",ROW()-4)</f>
        <v/>
      </c>
      <c r="B28" s="5"/>
      <c r="C28" s="6"/>
      <c r="D28" s="6"/>
      <c r="E28" s="7"/>
      <c r="F28" s="7"/>
      <c r="G28" s="6"/>
      <c r="H28" s="6"/>
      <c r="I28" s="8"/>
      <c r="J28" s="9"/>
      <c r="K28" s="6"/>
      <c r="L28" s="10"/>
      <c r="M28" s="10"/>
      <c r="N28" s="6"/>
      <c r="O28" s="6"/>
      <c r="P28" s="11"/>
      <c r="Q28" s="8"/>
      <c r="R28" s="10"/>
      <c r="S28" s="12" t="str">
        <f aca="false">IF(OR(K28="Evet",N28="Evet",H28="FAIL"),"🚩","")</f>
        <v/>
      </c>
    </row>
    <row r="29" customFormat="false" ht="15" hidden="false" customHeight="false" outlineLevel="0" collapsed="false">
      <c r="A29" s="4" t="str">
        <f aca="false">IF(B29="","",ROW()-4)</f>
        <v/>
      </c>
      <c r="B29" s="5"/>
      <c r="C29" s="6"/>
      <c r="D29" s="6"/>
      <c r="E29" s="7"/>
      <c r="F29" s="7"/>
      <c r="G29" s="6"/>
      <c r="H29" s="6"/>
      <c r="I29" s="8"/>
      <c r="J29" s="9"/>
      <c r="K29" s="6"/>
      <c r="L29" s="10"/>
      <c r="M29" s="10"/>
      <c r="N29" s="6"/>
      <c r="O29" s="6"/>
      <c r="P29" s="11"/>
      <c r="Q29" s="8"/>
      <c r="R29" s="10"/>
      <c r="S29" s="12" t="str">
        <f aca="false">IF(OR(K29="Evet",N29="Evet",H29="FAIL"),"🚩","")</f>
        <v/>
      </c>
    </row>
    <row r="30" customFormat="false" ht="15" hidden="false" customHeight="false" outlineLevel="0" collapsed="false">
      <c r="A30" s="4" t="str">
        <f aca="false">IF(B30="","",ROW()-4)</f>
        <v/>
      </c>
      <c r="B30" s="5"/>
      <c r="C30" s="6"/>
      <c r="D30" s="6"/>
      <c r="E30" s="7"/>
      <c r="F30" s="7"/>
      <c r="G30" s="6"/>
      <c r="H30" s="6"/>
      <c r="I30" s="8"/>
      <c r="J30" s="9"/>
      <c r="K30" s="6"/>
      <c r="L30" s="10"/>
      <c r="M30" s="10"/>
      <c r="N30" s="6"/>
      <c r="O30" s="6"/>
      <c r="P30" s="11"/>
      <c r="Q30" s="8"/>
      <c r="R30" s="10"/>
      <c r="S30" s="12" t="str">
        <f aca="false">IF(OR(K30="Evet",N30="Evet",H30="FAIL"),"🚩","")</f>
        <v/>
      </c>
    </row>
    <row r="31" customFormat="false" ht="15" hidden="false" customHeight="false" outlineLevel="0" collapsed="false">
      <c r="A31" s="4" t="str">
        <f aca="false">IF(B31="","",ROW()-4)</f>
        <v/>
      </c>
      <c r="B31" s="5"/>
      <c r="C31" s="6"/>
      <c r="D31" s="6"/>
      <c r="E31" s="7"/>
      <c r="F31" s="7"/>
      <c r="G31" s="6"/>
      <c r="H31" s="6"/>
      <c r="I31" s="8"/>
      <c r="J31" s="9"/>
      <c r="K31" s="6"/>
      <c r="L31" s="10"/>
      <c r="M31" s="10"/>
      <c r="N31" s="6"/>
      <c r="O31" s="6"/>
      <c r="P31" s="11"/>
      <c r="Q31" s="8"/>
      <c r="R31" s="10"/>
      <c r="S31" s="12" t="str">
        <f aca="false">IF(OR(K31="Evet",N31="Evet",H31="FAIL"),"🚩","")</f>
        <v/>
      </c>
    </row>
    <row r="32" customFormat="false" ht="15" hidden="false" customHeight="false" outlineLevel="0" collapsed="false">
      <c r="A32" s="4" t="str">
        <f aca="false">IF(B32="","",ROW()-4)</f>
        <v/>
      </c>
      <c r="B32" s="5"/>
      <c r="C32" s="6"/>
      <c r="D32" s="6"/>
      <c r="E32" s="7"/>
      <c r="F32" s="7"/>
      <c r="G32" s="6"/>
      <c r="H32" s="6"/>
      <c r="I32" s="8"/>
      <c r="J32" s="9"/>
      <c r="K32" s="6"/>
      <c r="L32" s="10"/>
      <c r="M32" s="10"/>
      <c r="N32" s="6"/>
      <c r="O32" s="6"/>
      <c r="P32" s="11"/>
      <c r="Q32" s="8"/>
      <c r="R32" s="10"/>
      <c r="S32" s="12" t="str">
        <f aca="false">IF(OR(K32="Evet",N32="Evet",H32="FAIL"),"🚩","")</f>
        <v/>
      </c>
    </row>
    <row r="33" customFormat="false" ht="15" hidden="false" customHeight="false" outlineLevel="0" collapsed="false">
      <c r="A33" s="4" t="str">
        <f aca="false">IF(B33="","",ROW()-4)</f>
        <v/>
      </c>
      <c r="B33" s="5"/>
      <c r="C33" s="6"/>
      <c r="D33" s="6"/>
      <c r="E33" s="7"/>
      <c r="F33" s="7"/>
      <c r="G33" s="6"/>
      <c r="H33" s="6"/>
      <c r="I33" s="8"/>
      <c r="J33" s="9"/>
      <c r="K33" s="6"/>
      <c r="L33" s="10"/>
      <c r="M33" s="10"/>
      <c r="N33" s="6"/>
      <c r="O33" s="6"/>
      <c r="P33" s="11"/>
      <c r="Q33" s="8"/>
      <c r="R33" s="10"/>
      <c r="S33" s="12" t="str">
        <f aca="false">IF(OR(K33="Evet",N33="Evet",H33="FAIL"),"🚩","")</f>
        <v/>
      </c>
    </row>
    <row r="34" customFormat="false" ht="15" hidden="false" customHeight="false" outlineLevel="0" collapsed="false">
      <c r="A34" s="4" t="str">
        <f aca="false">IF(B34="","",ROW()-4)</f>
        <v/>
      </c>
      <c r="B34" s="5"/>
      <c r="C34" s="6"/>
      <c r="D34" s="6"/>
      <c r="E34" s="7"/>
      <c r="F34" s="7"/>
      <c r="G34" s="6"/>
      <c r="H34" s="6"/>
      <c r="I34" s="8"/>
      <c r="J34" s="9"/>
      <c r="K34" s="6"/>
      <c r="L34" s="10"/>
      <c r="M34" s="10"/>
      <c r="N34" s="6"/>
      <c r="O34" s="6"/>
      <c r="P34" s="11"/>
      <c r="Q34" s="8"/>
      <c r="R34" s="10"/>
      <c r="S34" s="12" t="str">
        <f aca="false">IF(OR(K34="Evet",N34="Evet",H34="FAIL"),"🚩","")</f>
        <v/>
      </c>
    </row>
    <row r="35" customFormat="false" ht="15" hidden="false" customHeight="false" outlineLevel="0" collapsed="false">
      <c r="A35" s="4" t="str">
        <f aca="false">IF(B35="","",ROW()-4)</f>
        <v/>
      </c>
      <c r="B35" s="5"/>
      <c r="C35" s="6"/>
      <c r="D35" s="6"/>
      <c r="E35" s="7"/>
      <c r="F35" s="7"/>
      <c r="G35" s="6"/>
      <c r="H35" s="6"/>
      <c r="I35" s="8"/>
      <c r="J35" s="9"/>
      <c r="K35" s="6"/>
      <c r="L35" s="10"/>
      <c r="M35" s="10"/>
      <c r="N35" s="6"/>
      <c r="O35" s="6"/>
      <c r="P35" s="11"/>
      <c r="Q35" s="8"/>
      <c r="R35" s="10"/>
      <c r="S35" s="12" t="str">
        <f aca="false">IF(OR(K35="Evet",N35="Evet",H35="FAIL"),"🚩","")</f>
        <v/>
      </c>
    </row>
    <row r="36" customFormat="false" ht="15" hidden="false" customHeight="false" outlineLevel="0" collapsed="false">
      <c r="A36" s="4" t="str">
        <f aca="false">IF(B36="","",ROW()-4)</f>
        <v/>
      </c>
      <c r="B36" s="5"/>
      <c r="C36" s="6"/>
      <c r="D36" s="6"/>
      <c r="E36" s="7"/>
      <c r="F36" s="7"/>
      <c r="G36" s="6"/>
      <c r="H36" s="6"/>
      <c r="I36" s="8"/>
      <c r="J36" s="9"/>
      <c r="K36" s="6"/>
      <c r="L36" s="10"/>
      <c r="M36" s="10"/>
      <c r="N36" s="6"/>
      <c r="O36" s="6"/>
      <c r="P36" s="11"/>
      <c r="Q36" s="8"/>
      <c r="R36" s="10"/>
      <c r="S36" s="12" t="str">
        <f aca="false">IF(OR(K36="Evet",N36="Evet",H36="FAIL"),"🚩","")</f>
        <v/>
      </c>
    </row>
    <row r="37" customFormat="false" ht="15" hidden="false" customHeight="false" outlineLevel="0" collapsed="false">
      <c r="A37" s="4" t="str">
        <f aca="false">IF(B37="","",ROW()-4)</f>
        <v/>
      </c>
      <c r="B37" s="5"/>
      <c r="C37" s="6"/>
      <c r="D37" s="6"/>
      <c r="E37" s="7"/>
      <c r="F37" s="7"/>
      <c r="G37" s="6"/>
      <c r="H37" s="6"/>
      <c r="I37" s="8"/>
      <c r="J37" s="9"/>
      <c r="K37" s="6"/>
      <c r="L37" s="10"/>
      <c r="M37" s="10"/>
      <c r="N37" s="6"/>
      <c r="O37" s="6"/>
      <c r="P37" s="11"/>
      <c r="Q37" s="8"/>
      <c r="R37" s="10"/>
      <c r="S37" s="12" t="str">
        <f aca="false">IF(OR(K37="Evet",N37="Evet",H37="FAIL"),"🚩","")</f>
        <v/>
      </c>
    </row>
    <row r="38" customFormat="false" ht="15" hidden="false" customHeight="false" outlineLevel="0" collapsed="false">
      <c r="A38" s="4" t="str">
        <f aca="false">IF(B38="","",ROW()-4)</f>
        <v/>
      </c>
      <c r="B38" s="5"/>
      <c r="C38" s="6"/>
      <c r="D38" s="6"/>
      <c r="E38" s="7"/>
      <c r="F38" s="7"/>
      <c r="G38" s="6"/>
      <c r="H38" s="6"/>
      <c r="I38" s="8"/>
      <c r="J38" s="9"/>
      <c r="K38" s="6"/>
      <c r="L38" s="10"/>
      <c r="M38" s="10"/>
      <c r="N38" s="6"/>
      <c r="O38" s="6"/>
      <c r="P38" s="11"/>
      <c r="Q38" s="8"/>
      <c r="R38" s="10"/>
      <c r="S38" s="12" t="str">
        <f aca="false">IF(OR(K38="Evet",N38="Evet",H38="FAIL"),"🚩","")</f>
        <v/>
      </c>
    </row>
    <row r="39" customFormat="false" ht="15" hidden="false" customHeight="false" outlineLevel="0" collapsed="false">
      <c r="A39" s="4" t="str">
        <f aca="false">IF(B39="","",ROW()-4)</f>
        <v/>
      </c>
      <c r="B39" s="5"/>
      <c r="C39" s="6"/>
      <c r="D39" s="6"/>
      <c r="E39" s="7"/>
      <c r="F39" s="7"/>
      <c r="G39" s="6"/>
      <c r="H39" s="6"/>
      <c r="I39" s="8"/>
      <c r="J39" s="9"/>
      <c r="K39" s="6"/>
      <c r="L39" s="10"/>
      <c r="M39" s="10"/>
      <c r="N39" s="6"/>
      <c r="O39" s="6"/>
      <c r="P39" s="11"/>
      <c r="Q39" s="8"/>
      <c r="R39" s="10"/>
      <c r="S39" s="12" t="str">
        <f aca="false">IF(OR(K39="Evet",N39="Evet",H39="FAIL"),"🚩","")</f>
        <v/>
      </c>
    </row>
    <row r="40" customFormat="false" ht="15" hidden="false" customHeight="false" outlineLevel="0" collapsed="false">
      <c r="A40" s="4" t="str">
        <f aca="false">IF(B40="","",ROW()-4)</f>
        <v/>
      </c>
      <c r="B40" s="5"/>
      <c r="C40" s="6"/>
      <c r="D40" s="6"/>
      <c r="E40" s="7"/>
      <c r="F40" s="7"/>
      <c r="G40" s="6"/>
      <c r="H40" s="6"/>
      <c r="I40" s="8"/>
      <c r="J40" s="9"/>
      <c r="K40" s="6"/>
      <c r="L40" s="10"/>
      <c r="M40" s="10"/>
      <c r="N40" s="6"/>
      <c r="O40" s="6"/>
      <c r="P40" s="11"/>
      <c r="Q40" s="8"/>
      <c r="R40" s="10"/>
      <c r="S40" s="12" t="str">
        <f aca="false">IF(OR(K40="Evet",N40="Evet",H40="FAIL"),"🚩","")</f>
        <v/>
      </c>
    </row>
    <row r="41" customFormat="false" ht="15" hidden="false" customHeight="false" outlineLevel="0" collapsed="false">
      <c r="A41" s="4" t="str">
        <f aca="false">IF(B41="","",ROW()-4)</f>
        <v/>
      </c>
      <c r="B41" s="5"/>
      <c r="C41" s="6"/>
      <c r="D41" s="6"/>
      <c r="E41" s="7"/>
      <c r="F41" s="7"/>
      <c r="G41" s="6"/>
      <c r="H41" s="6"/>
      <c r="I41" s="8"/>
      <c r="J41" s="9"/>
      <c r="K41" s="6"/>
      <c r="L41" s="10"/>
      <c r="M41" s="10"/>
      <c r="N41" s="6"/>
      <c r="O41" s="6"/>
      <c r="P41" s="11"/>
      <c r="Q41" s="8"/>
      <c r="R41" s="10"/>
      <c r="S41" s="12" t="str">
        <f aca="false">IF(OR(K41="Evet",N41="Evet",H41="FAIL"),"🚩","")</f>
        <v/>
      </c>
    </row>
    <row r="42" customFormat="false" ht="15" hidden="false" customHeight="false" outlineLevel="0" collapsed="false">
      <c r="A42" s="4" t="str">
        <f aca="false">IF(B42="","",ROW()-4)</f>
        <v/>
      </c>
      <c r="B42" s="5"/>
      <c r="C42" s="6"/>
      <c r="D42" s="6"/>
      <c r="E42" s="7"/>
      <c r="F42" s="7"/>
      <c r="G42" s="6"/>
      <c r="H42" s="6"/>
      <c r="I42" s="8"/>
      <c r="J42" s="9"/>
      <c r="K42" s="6"/>
      <c r="L42" s="10"/>
      <c r="M42" s="10"/>
      <c r="N42" s="6"/>
      <c r="O42" s="6"/>
      <c r="P42" s="11"/>
      <c r="Q42" s="8"/>
      <c r="R42" s="10"/>
      <c r="S42" s="12" t="str">
        <f aca="false">IF(OR(K42="Evet",N42="Evet",H42="FAIL"),"🚩","")</f>
        <v/>
      </c>
    </row>
    <row r="43" customFormat="false" ht="15" hidden="false" customHeight="false" outlineLevel="0" collapsed="false">
      <c r="A43" s="4" t="str">
        <f aca="false">IF(B43="","",ROW()-4)</f>
        <v/>
      </c>
      <c r="B43" s="5"/>
      <c r="C43" s="6"/>
      <c r="D43" s="6"/>
      <c r="E43" s="7"/>
      <c r="F43" s="7"/>
      <c r="G43" s="6"/>
      <c r="H43" s="6"/>
      <c r="I43" s="8"/>
      <c r="J43" s="9"/>
      <c r="K43" s="6"/>
      <c r="L43" s="10"/>
      <c r="M43" s="10"/>
      <c r="N43" s="6"/>
      <c r="O43" s="6"/>
      <c r="P43" s="11"/>
      <c r="Q43" s="8"/>
      <c r="R43" s="10"/>
      <c r="S43" s="12" t="str">
        <f aca="false">IF(OR(K43="Evet",N43="Evet",H43="FAIL"),"🚩","")</f>
        <v/>
      </c>
    </row>
    <row r="44" customFormat="false" ht="15" hidden="false" customHeight="false" outlineLevel="0" collapsed="false">
      <c r="A44" s="4" t="str">
        <f aca="false">IF(B44="","",ROW()-4)</f>
        <v/>
      </c>
      <c r="B44" s="5"/>
      <c r="C44" s="6"/>
      <c r="D44" s="6"/>
      <c r="E44" s="7"/>
      <c r="F44" s="7"/>
      <c r="G44" s="6"/>
      <c r="H44" s="6"/>
      <c r="I44" s="8"/>
      <c r="J44" s="9"/>
      <c r="K44" s="6"/>
      <c r="L44" s="10"/>
      <c r="M44" s="10"/>
      <c r="N44" s="6"/>
      <c r="O44" s="6"/>
      <c r="P44" s="11"/>
      <c r="Q44" s="8"/>
      <c r="R44" s="10"/>
      <c r="S44" s="12" t="str">
        <f aca="false">IF(OR(K44="Evet",N44="Evet",H44="FAIL"),"🚩","")</f>
        <v/>
      </c>
    </row>
    <row r="45" customFormat="false" ht="15" hidden="false" customHeight="false" outlineLevel="0" collapsed="false">
      <c r="A45" s="4" t="str">
        <f aca="false">IF(B45="","",ROW()-4)</f>
        <v/>
      </c>
      <c r="B45" s="5"/>
      <c r="C45" s="6"/>
      <c r="D45" s="6"/>
      <c r="E45" s="7"/>
      <c r="F45" s="7"/>
      <c r="G45" s="6"/>
      <c r="H45" s="6"/>
      <c r="I45" s="8"/>
      <c r="J45" s="9"/>
      <c r="K45" s="6"/>
      <c r="L45" s="10"/>
      <c r="M45" s="10"/>
      <c r="N45" s="6"/>
      <c r="O45" s="6"/>
      <c r="P45" s="11"/>
      <c r="Q45" s="8"/>
      <c r="R45" s="10"/>
      <c r="S45" s="12" t="str">
        <f aca="false">IF(OR(K45="Evet",N45="Evet",H45="FAIL"),"🚩","")</f>
        <v/>
      </c>
    </row>
    <row r="46" customFormat="false" ht="15" hidden="false" customHeight="false" outlineLevel="0" collapsed="false">
      <c r="A46" s="4" t="str">
        <f aca="false">IF(B46="","",ROW()-4)</f>
        <v/>
      </c>
      <c r="B46" s="5"/>
      <c r="C46" s="6"/>
      <c r="D46" s="6"/>
      <c r="E46" s="7"/>
      <c r="F46" s="7"/>
      <c r="G46" s="6"/>
      <c r="H46" s="6"/>
      <c r="I46" s="8"/>
      <c r="J46" s="9"/>
      <c r="K46" s="6"/>
      <c r="L46" s="10"/>
      <c r="M46" s="10"/>
      <c r="N46" s="6"/>
      <c r="O46" s="6"/>
      <c r="P46" s="11"/>
      <c r="Q46" s="8"/>
      <c r="R46" s="10"/>
      <c r="S46" s="12" t="str">
        <f aca="false">IF(OR(K46="Evet",N46="Evet",H46="FAIL"),"🚩","")</f>
        <v/>
      </c>
    </row>
    <row r="47" customFormat="false" ht="15" hidden="false" customHeight="false" outlineLevel="0" collapsed="false">
      <c r="A47" s="4" t="str">
        <f aca="false">IF(B47="","",ROW()-4)</f>
        <v/>
      </c>
      <c r="B47" s="5"/>
      <c r="C47" s="6"/>
      <c r="D47" s="6"/>
      <c r="E47" s="7"/>
      <c r="F47" s="7"/>
      <c r="G47" s="6"/>
      <c r="H47" s="6"/>
      <c r="I47" s="8"/>
      <c r="J47" s="9"/>
      <c r="K47" s="6"/>
      <c r="L47" s="10"/>
      <c r="M47" s="10"/>
      <c r="N47" s="6"/>
      <c r="O47" s="6"/>
      <c r="P47" s="11"/>
      <c r="Q47" s="8"/>
      <c r="R47" s="10"/>
      <c r="S47" s="12" t="str">
        <f aca="false">IF(OR(K47="Evet",N47="Evet",H47="FAIL"),"🚩","")</f>
        <v/>
      </c>
    </row>
    <row r="48" customFormat="false" ht="15" hidden="false" customHeight="false" outlineLevel="0" collapsed="false">
      <c r="A48" s="4" t="str">
        <f aca="false">IF(B48="","",ROW()-4)</f>
        <v/>
      </c>
      <c r="B48" s="5"/>
      <c r="C48" s="6"/>
      <c r="D48" s="6"/>
      <c r="E48" s="7"/>
      <c r="F48" s="7"/>
      <c r="G48" s="6"/>
      <c r="H48" s="6"/>
      <c r="I48" s="8"/>
      <c r="J48" s="9"/>
      <c r="K48" s="6"/>
      <c r="L48" s="10"/>
      <c r="M48" s="10"/>
      <c r="N48" s="6"/>
      <c r="O48" s="6"/>
      <c r="P48" s="11"/>
      <c r="Q48" s="8"/>
      <c r="R48" s="10"/>
      <c r="S48" s="12" t="str">
        <f aca="false">IF(OR(K48="Evet",N48="Evet",H48="FAIL"),"🚩","")</f>
        <v/>
      </c>
    </row>
    <row r="49" customFormat="false" ht="15" hidden="false" customHeight="false" outlineLevel="0" collapsed="false">
      <c r="A49" s="4" t="str">
        <f aca="false">IF(B49="","",ROW()-4)</f>
        <v/>
      </c>
      <c r="B49" s="5"/>
      <c r="C49" s="6"/>
      <c r="D49" s="6"/>
      <c r="E49" s="7"/>
      <c r="F49" s="7"/>
      <c r="G49" s="6"/>
      <c r="H49" s="6"/>
      <c r="I49" s="8"/>
      <c r="J49" s="9"/>
      <c r="K49" s="6"/>
      <c r="L49" s="10"/>
      <c r="M49" s="10"/>
      <c r="N49" s="6"/>
      <c r="O49" s="6"/>
      <c r="P49" s="11"/>
      <c r="Q49" s="8"/>
      <c r="R49" s="10"/>
      <c r="S49" s="12" t="str">
        <f aca="false">IF(OR(K49="Evet",N49="Evet",H49="FAIL"),"🚩","")</f>
        <v/>
      </c>
    </row>
    <row r="50" customFormat="false" ht="15" hidden="false" customHeight="false" outlineLevel="0" collapsed="false">
      <c r="A50" s="4" t="str">
        <f aca="false">IF(B50="","",ROW()-4)</f>
        <v/>
      </c>
      <c r="B50" s="5"/>
      <c r="C50" s="6"/>
      <c r="D50" s="6"/>
      <c r="E50" s="7"/>
      <c r="F50" s="7"/>
      <c r="G50" s="6"/>
      <c r="H50" s="6"/>
      <c r="I50" s="8"/>
      <c r="J50" s="9"/>
      <c r="K50" s="6"/>
      <c r="L50" s="10"/>
      <c r="M50" s="10"/>
      <c r="N50" s="6"/>
      <c r="O50" s="6"/>
      <c r="P50" s="11"/>
      <c r="Q50" s="8"/>
      <c r="R50" s="10"/>
      <c r="S50" s="12" t="str">
        <f aca="false">IF(OR(K50="Evet",N50="Evet",H50="FAIL"),"🚩","")</f>
        <v/>
      </c>
    </row>
    <row r="51" customFormat="false" ht="15" hidden="false" customHeight="false" outlineLevel="0" collapsed="false">
      <c r="A51" s="4" t="str">
        <f aca="false">IF(B51="","",ROW()-4)</f>
        <v/>
      </c>
      <c r="B51" s="5"/>
      <c r="C51" s="6"/>
      <c r="D51" s="6"/>
      <c r="E51" s="7"/>
      <c r="F51" s="7"/>
      <c r="G51" s="6"/>
      <c r="H51" s="6"/>
      <c r="I51" s="8"/>
      <c r="J51" s="9"/>
      <c r="K51" s="6"/>
      <c r="L51" s="10"/>
      <c r="M51" s="10"/>
      <c r="N51" s="6"/>
      <c r="O51" s="6"/>
      <c r="P51" s="11"/>
      <c r="Q51" s="8"/>
      <c r="R51" s="10"/>
      <c r="S51" s="12" t="str">
        <f aca="false">IF(OR(K51="Evet",N51="Evet",H51="FAIL"),"🚩","")</f>
        <v/>
      </c>
    </row>
    <row r="52" customFormat="false" ht="15" hidden="false" customHeight="false" outlineLevel="0" collapsed="false">
      <c r="A52" s="4" t="str">
        <f aca="false">IF(B52="","",ROW()-4)</f>
        <v/>
      </c>
      <c r="B52" s="5"/>
      <c r="C52" s="6"/>
      <c r="D52" s="6"/>
      <c r="E52" s="7"/>
      <c r="F52" s="7"/>
      <c r="G52" s="6"/>
      <c r="H52" s="6"/>
      <c r="I52" s="8"/>
      <c r="J52" s="9"/>
      <c r="K52" s="6"/>
      <c r="L52" s="10"/>
      <c r="M52" s="10"/>
      <c r="N52" s="6"/>
      <c r="O52" s="6"/>
      <c r="P52" s="11"/>
      <c r="Q52" s="8"/>
      <c r="R52" s="10"/>
      <c r="S52" s="12" t="str">
        <f aca="false">IF(OR(K52="Evet",N52="Evet",H52="FAIL"),"🚩","")</f>
        <v/>
      </c>
    </row>
    <row r="53" customFormat="false" ht="15" hidden="false" customHeight="false" outlineLevel="0" collapsed="false">
      <c r="A53" s="4" t="str">
        <f aca="false">IF(B53="","",ROW()-4)</f>
        <v/>
      </c>
      <c r="B53" s="5"/>
      <c r="C53" s="6"/>
      <c r="D53" s="6"/>
      <c r="E53" s="7"/>
      <c r="F53" s="7"/>
      <c r="G53" s="6"/>
      <c r="H53" s="6"/>
      <c r="I53" s="8"/>
      <c r="J53" s="9"/>
      <c r="K53" s="6"/>
      <c r="L53" s="10"/>
      <c r="M53" s="10"/>
      <c r="N53" s="6"/>
      <c r="O53" s="6"/>
      <c r="P53" s="11"/>
      <c r="Q53" s="8"/>
      <c r="R53" s="10"/>
      <c r="S53" s="12" t="str">
        <f aca="false">IF(OR(K53="Evet",N53="Evet",H53="FAIL"),"🚩","")</f>
        <v/>
      </c>
    </row>
    <row r="54" customFormat="false" ht="15" hidden="false" customHeight="false" outlineLevel="0" collapsed="false">
      <c r="A54" s="4" t="str">
        <f aca="false">IF(B54="","",ROW()-4)</f>
        <v/>
      </c>
      <c r="B54" s="5"/>
      <c r="C54" s="6"/>
      <c r="D54" s="6"/>
      <c r="E54" s="7"/>
      <c r="F54" s="7"/>
      <c r="G54" s="6"/>
      <c r="H54" s="6"/>
      <c r="I54" s="8"/>
      <c r="J54" s="9"/>
      <c r="K54" s="6"/>
      <c r="L54" s="10"/>
      <c r="M54" s="10"/>
      <c r="N54" s="6"/>
      <c r="O54" s="6"/>
      <c r="P54" s="11"/>
      <c r="Q54" s="8"/>
      <c r="R54" s="10"/>
      <c r="S54" s="12" t="str">
        <f aca="false">IF(OR(K54="Evet",N54="Evet",H54="FAIL"),"🚩","")</f>
        <v/>
      </c>
    </row>
  </sheetData>
  <mergeCells count="2">
    <mergeCell ref="A1:S1"/>
    <mergeCell ref="A2:S2"/>
  </mergeCells>
  <conditionalFormatting sqref="A5:S54">
    <cfRule type="expression" priority="2" aboveAverage="0" equalAverage="0" bottom="0" percent="0" rank="0" text="" dxfId="0">
      <formula>$H5="PASS"</formula>
    </cfRule>
    <cfRule type="expression" priority="3" aboveAverage="0" equalAverage="0" bottom="0" percent="0" rank="0" text="" dxfId="1">
      <formula>$H5="FAIL"</formula>
    </cfRule>
    <cfRule type="expression" priority="4" aboveAverage="0" equalAverage="0" bottom="0" percent="0" rank="0" text="" dxfId="2">
      <formula>$H5="PARTIAL"</formula>
    </cfRule>
  </conditionalFormatting>
  <conditionalFormatting sqref="K5:K54">
    <cfRule type="expression" priority="5" aboveAverage="0" equalAverage="0" bottom="0" percent="0" rank="0" text="" dxfId="3">
      <formula>$K5="Evet"</formula>
    </cfRule>
  </conditionalFormatting>
  <dataValidations count="4">
    <dataValidation allowBlank="false" errorStyle="stop" operator="between" showDropDown="false" showErrorMessage="false" showInputMessage="false" sqref="H5:H54" type="list">
      <formula1>"PASS,FAIL,PARTIAL"</formula1>
      <formula2>0</formula2>
    </dataValidation>
    <dataValidation allowBlank="false" errorStyle="stop" operator="between" showDropDown="false" showErrorMessage="false" showInputMessage="false" sqref="J5:K54 N5:O54" type="list">
      <formula1>"Evet,Hayır"</formula1>
      <formula2>0</formula2>
    </dataValidation>
    <dataValidation allowBlank="false" errorStyle="stop" operator="between" showDropDown="false" showErrorMessage="false" showInputMessage="false" sqref="L5:L54" type="list">
      <formula1>"Yok,Uydurma Parça,Yanlış Teşhis,Protokol Dışı,Dil Karışımı,Diğer"</formula1>
      <formula2>0</formula2>
    </dataValidation>
    <dataValidation allowBlank="false" errorStyle="stop" operator="between" showDropDown="false" showErrorMessage="false" showInputMessage="false" sqref="G5:G54" type="list">
      <formula1>"Kolay,Orta,Zor"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3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</row>
    <row r="5" customFormat="false" ht="15" hidden="false" customHeight="false" outlineLevel="0" collapsed="false">
      <c r="A5" s="14" t="s">
        <v>32</v>
      </c>
      <c r="B5" s="15" t="s">
        <v>33</v>
      </c>
      <c r="C5" s="15" t="s">
        <v>34</v>
      </c>
      <c r="D5" s="16" t="n">
        <f aca="false">COUNTIF('Test Log'!D$5:D$54,A5)</f>
        <v>0</v>
      </c>
      <c r="E5" s="16" t="n">
        <f aca="false">COUNTIFS('Test Log'!D$5:D$54,A5,'Test Log'!H$5:H$54,"PASS")</f>
        <v>0</v>
      </c>
      <c r="F5" s="16" t="n">
        <f aca="false">COUNTIFS('Test Log'!D$5:D$54,A5,'Test Log'!H$5:H$54,"FAIL")</f>
        <v>0</v>
      </c>
      <c r="G5" s="16" t="n">
        <f aca="false">COUNTIFS('Test Log'!D$5:D$54,A5,'Test Log'!H$5:H$54,"PARTIAL")</f>
        <v>0</v>
      </c>
      <c r="H5" s="17" t="n">
        <f aca="false">IFERROR(E5/D5,0)</f>
        <v>0</v>
      </c>
      <c r="I5" s="18" t="n">
        <f aca="false">IFERROR(AVERAGEIF('Test Log'!D$5:D$54,A5,'Test Log'!I$5:I$54),0)</f>
        <v>0</v>
      </c>
      <c r="J5" s="16" t="n">
        <f aca="false">COUNTIFS('Test Log'!D$5:D$54,A5,'Test Log'!K$5:K$54,"Evet")</f>
        <v>0</v>
      </c>
      <c r="K5" s="17" t="n">
        <f aca="false">IFERROR(J5/D5,0)</f>
        <v>0</v>
      </c>
      <c r="L5" s="16" t="str">
        <f aca="false">IF(K5&gt;0.3,"🔴 Yüksek",IF(K5&gt;0.1,"🟡 Orta","🟢 Düşük"))</f>
        <v>🟢 Düşük</v>
      </c>
    </row>
    <row r="6" customFormat="false" ht="15" hidden="false" customHeight="false" outlineLevel="0" collapsed="false">
      <c r="A6" s="19" t="s">
        <v>35</v>
      </c>
      <c r="B6" s="20" t="s">
        <v>36</v>
      </c>
      <c r="C6" s="20" t="s">
        <v>37</v>
      </c>
      <c r="D6" s="21" t="n">
        <f aca="false">COUNTIF('Test Log'!D$5:D$54,A6)</f>
        <v>0</v>
      </c>
      <c r="E6" s="21" t="n">
        <f aca="false">COUNTIFS('Test Log'!D$5:D$54,A6,'Test Log'!H$5:H$54,"PASS")</f>
        <v>0</v>
      </c>
      <c r="F6" s="21" t="n">
        <f aca="false">COUNTIFS('Test Log'!D$5:D$54,A6,'Test Log'!H$5:H$54,"FAIL")</f>
        <v>0</v>
      </c>
      <c r="G6" s="21" t="n">
        <f aca="false">COUNTIFS('Test Log'!D$5:D$54,A6,'Test Log'!H$5:H$54,"PARTIAL")</f>
        <v>0</v>
      </c>
      <c r="H6" s="22" t="n">
        <f aca="false">IFERROR(E6/D6,0)</f>
        <v>0</v>
      </c>
      <c r="I6" s="23" t="n">
        <f aca="false">IFERROR(AVERAGEIF('Test Log'!D$5:D$54,A6,'Test Log'!I$5:I$54),0)</f>
        <v>0</v>
      </c>
      <c r="J6" s="21" t="n">
        <f aca="false">COUNTIFS('Test Log'!D$5:D$54,A6,'Test Log'!K$5:K$54,"Evet")</f>
        <v>0</v>
      </c>
      <c r="K6" s="22" t="n">
        <f aca="false">IFERROR(J6/D6,0)</f>
        <v>0</v>
      </c>
      <c r="L6" s="21" t="str">
        <f aca="false">IF(K6&gt;0.3,"🔴 Yüksek",IF(K6&gt;0.1,"🟡 Orta","🟢 Düşük"))</f>
        <v>🟢 Düşük</v>
      </c>
    </row>
    <row r="7" customFormat="false" ht="15" hidden="false" customHeight="false" outlineLevel="0" collapsed="false">
      <c r="A7" s="14" t="s">
        <v>38</v>
      </c>
      <c r="B7" s="15" t="s">
        <v>39</v>
      </c>
      <c r="C7" s="15" t="s">
        <v>40</v>
      </c>
      <c r="D7" s="16" t="n">
        <f aca="false">COUNTIF('Test Log'!D$5:D$54,A7)</f>
        <v>0</v>
      </c>
      <c r="E7" s="16" t="n">
        <f aca="false">COUNTIFS('Test Log'!D$5:D$54,A7,'Test Log'!H$5:H$54,"PASS")</f>
        <v>0</v>
      </c>
      <c r="F7" s="16" t="n">
        <f aca="false">COUNTIFS('Test Log'!D$5:D$54,A7,'Test Log'!H$5:H$54,"FAIL")</f>
        <v>0</v>
      </c>
      <c r="G7" s="16" t="n">
        <f aca="false">COUNTIFS('Test Log'!D$5:D$54,A7,'Test Log'!H$5:H$54,"PARTIAL")</f>
        <v>0</v>
      </c>
      <c r="H7" s="17" t="n">
        <f aca="false">IFERROR(E7/D7,0)</f>
        <v>0</v>
      </c>
      <c r="I7" s="18" t="n">
        <f aca="false">IFERROR(AVERAGEIF('Test Log'!D$5:D$54,A7,'Test Log'!I$5:I$54),0)</f>
        <v>0</v>
      </c>
      <c r="J7" s="16" t="n">
        <f aca="false">COUNTIFS('Test Log'!D$5:D$54,A7,'Test Log'!K$5:K$54,"Evet")</f>
        <v>0</v>
      </c>
      <c r="K7" s="17" t="n">
        <f aca="false">IFERROR(J7/D7,0)</f>
        <v>0</v>
      </c>
      <c r="L7" s="16" t="str">
        <f aca="false">IF(K7&gt;0.3,"🔴 Yüksek",IF(K7&gt;0.1,"🟡 Orta","🟢 Düşük"))</f>
        <v>🟢 Düşük</v>
      </c>
    </row>
    <row r="8" customFormat="false" ht="15" hidden="false" customHeight="false" outlineLevel="0" collapsed="false">
      <c r="A8" s="19" t="s">
        <v>41</v>
      </c>
      <c r="B8" s="20" t="s">
        <v>42</v>
      </c>
      <c r="C8" s="20" t="s">
        <v>43</v>
      </c>
      <c r="D8" s="21" t="n">
        <f aca="false">COUNTIF('Test Log'!D$5:D$54,A8)</f>
        <v>0</v>
      </c>
      <c r="E8" s="21" t="n">
        <f aca="false">COUNTIFS('Test Log'!D$5:D$54,A8,'Test Log'!H$5:H$54,"PASS")</f>
        <v>0</v>
      </c>
      <c r="F8" s="21" t="n">
        <f aca="false">COUNTIFS('Test Log'!D$5:D$54,A8,'Test Log'!H$5:H$54,"FAIL")</f>
        <v>0</v>
      </c>
      <c r="G8" s="21" t="n">
        <f aca="false">COUNTIFS('Test Log'!D$5:D$54,A8,'Test Log'!H$5:H$54,"PARTIAL")</f>
        <v>0</v>
      </c>
      <c r="H8" s="22" t="n">
        <f aca="false">IFERROR(E8/D8,0)</f>
        <v>0</v>
      </c>
      <c r="I8" s="23" t="n">
        <f aca="false">IFERROR(AVERAGEIF('Test Log'!D$5:D$54,A8,'Test Log'!I$5:I$54),0)</f>
        <v>0</v>
      </c>
      <c r="J8" s="21" t="n">
        <f aca="false">COUNTIFS('Test Log'!D$5:D$54,A8,'Test Log'!K$5:K$54,"Evet")</f>
        <v>0</v>
      </c>
      <c r="K8" s="22" t="n">
        <f aca="false">IFERROR(J8/D8,0)</f>
        <v>0</v>
      </c>
      <c r="L8" s="21" t="str">
        <f aca="false">IF(K8&gt;0.3,"🔴 Yüksek",IF(K8&gt;0.1,"🟡 Orta","🟢 Düşük"))</f>
        <v>🟢 Düşük</v>
      </c>
    </row>
    <row r="9" customFormat="false" ht="15" hidden="false" customHeight="false" outlineLevel="0" collapsed="false">
      <c r="A9" s="14" t="s">
        <v>44</v>
      </c>
      <c r="B9" s="15" t="s">
        <v>45</v>
      </c>
      <c r="C9" s="15" t="s">
        <v>46</v>
      </c>
      <c r="D9" s="16" t="n">
        <f aca="false">COUNTIF('Test Log'!D$5:D$54,A9)</f>
        <v>0</v>
      </c>
      <c r="E9" s="16" t="n">
        <f aca="false">COUNTIFS('Test Log'!D$5:D$54,A9,'Test Log'!H$5:H$54,"PASS")</f>
        <v>0</v>
      </c>
      <c r="F9" s="16" t="n">
        <f aca="false">COUNTIFS('Test Log'!D$5:D$54,A9,'Test Log'!H$5:H$54,"FAIL")</f>
        <v>0</v>
      </c>
      <c r="G9" s="16" t="n">
        <f aca="false">COUNTIFS('Test Log'!D$5:D$54,A9,'Test Log'!H$5:H$54,"PARTIAL")</f>
        <v>0</v>
      </c>
      <c r="H9" s="17" t="n">
        <f aca="false">IFERROR(E9/D9,0)</f>
        <v>0</v>
      </c>
      <c r="I9" s="18" t="n">
        <f aca="false">IFERROR(AVERAGEIF('Test Log'!D$5:D$54,A9,'Test Log'!I$5:I$54),0)</f>
        <v>0</v>
      </c>
      <c r="J9" s="16" t="n">
        <f aca="false">COUNTIFS('Test Log'!D$5:D$54,A9,'Test Log'!K$5:K$54,"Evet")</f>
        <v>0</v>
      </c>
      <c r="K9" s="17" t="n">
        <f aca="false">IFERROR(J9/D9,0)</f>
        <v>0</v>
      </c>
      <c r="L9" s="16" t="str">
        <f aca="false">IF(K9&gt;0.3,"🔴 Yüksek",IF(K9&gt;0.1,"🟡 Orta","🟢 Düşük"))</f>
        <v>🟢 Düşük</v>
      </c>
    </row>
    <row r="10" customFormat="false" ht="15" hidden="false" customHeight="false" outlineLevel="0" collapsed="false">
      <c r="A10" s="19" t="s">
        <v>47</v>
      </c>
      <c r="B10" s="20" t="s">
        <v>48</v>
      </c>
      <c r="C10" s="20" t="s">
        <v>49</v>
      </c>
      <c r="D10" s="21" t="n">
        <f aca="false">COUNTIF('Test Log'!D$5:D$54,A10)</f>
        <v>0</v>
      </c>
      <c r="E10" s="21" t="n">
        <f aca="false">COUNTIFS('Test Log'!D$5:D$54,A10,'Test Log'!H$5:H$54,"PASS")</f>
        <v>0</v>
      </c>
      <c r="F10" s="21" t="n">
        <f aca="false">COUNTIFS('Test Log'!D$5:D$54,A10,'Test Log'!H$5:H$54,"FAIL")</f>
        <v>0</v>
      </c>
      <c r="G10" s="21" t="n">
        <f aca="false">COUNTIFS('Test Log'!D$5:D$54,A10,'Test Log'!H$5:H$54,"PARTIAL")</f>
        <v>0</v>
      </c>
      <c r="H10" s="22" t="n">
        <f aca="false">IFERROR(E10/D10,0)</f>
        <v>0</v>
      </c>
      <c r="I10" s="23" t="n">
        <f aca="false">IFERROR(AVERAGEIF('Test Log'!D$5:D$54,A10,'Test Log'!I$5:I$54),0)</f>
        <v>0</v>
      </c>
      <c r="J10" s="21" t="n">
        <f aca="false">COUNTIFS('Test Log'!D$5:D$54,A10,'Test Log'!K$5:K$54,"Evet")</f>
        <v>0</v>
      </c>
      <c r="K10" s="22" t="n">
        <f aca="false">IFERROR(J10/D10,0)</f>
        <v>0</v>
      </c>
      <c r="L10" s="21" t="str">
        <f aca="false">IF(K10&gt;0.3,"🔴 Yüksek",IF(K10&gt;0.1,"🟡 Orta","🟢 Düşük"))</f>
        <v>🟢 Düşük</v>
      </c>
    </row>
    <row r="11" customFormat="false" ht="15" hidden="false" customHeight="false" outlineLevel="0" collapsed="false">
      <c r="A11" s="14" t="s">
        <v>50</v>
      </c>
      <c r="B11" s="15" t="s">
        <v>51</v>
      </c>
      <c r="C11" s="15" t="s">
        <v>52</v>
      </c>
      <c r="D11" s="16" t="n">
        <f aca="false">COUNTIF('Test Log'!D$5:D$54,A11)</f>
        <v>0</v>
      </c>
      <c r="E11" s="16" t="n">
        <f aca="false">COUNTIFS('Test Log'!D$5:D$54,A11,'Test Log'!H$5:H$54,"PASS")</f>
        <v>0</v>
      </c>
      <c r="F11" s="16" t="n">
        <f aca="false">COUNTIFS('Test Log'!D$5:D$54,A11,'Test Log'!H$5:H$54,"FAIL")</f>
        <v>0</v>
      </c>
      <c r="G11" s="16" t="n">
        <f aca="false">COUNTIFS('Test Log'!D$5:D$54,A11,'Test Log'!H$5:H$54,"PARTIAL")</f>
        <v>0</v>
      </c>
      <c r="H11" s="17" t="n">
        <f aca="false">IFERROR(E11/D11,0)</f>
        <v>0</v>
      </c>
      <c r="I11" s="18" t="n">
        <f aca="false">IFERROR(AVERAGEIF('Test Log'!D$5:D$54,A11,'Test Log'!I$5:I$54),0)</f>
        <v>0</v>
      </c>
      <c r="J11" s="16" t="n">
        <f aca="false">COUNTIFS('Test Log'!D$5:D$54,A11,'Test Log'!K$5:K$54,"Evet")</f>
        <v>0</v>
      </c>
      <c r="K11" s="17" t="n">
        <f aca="false">IFERROR(J11/D11,0)</f>
        <v>0</v>
      </c>
      <c r="L11" s="16" t="str">
        <f aca="false">IF(K11&gt;0.3,"🔴 Yüksek",IF(K11&gt;0.1,"🟡 Orta","🟢 Düşük"))</f>
        <v>🟢 Düşük</v>
      </c>
    </row>
    <row r="12" customFormat="false" ht="15" hidden="false" customHeight="false" outlineLevel="0" collapsed="false">
      <c r="A12" s="19" t="s">
        <v>53</v>
      </c>
      <c r="B12" s="20" t="s">
        <v>54</v>
      </c>
      <c r="C12" s="20" t="s">
        <v>55</v>
      </c>
      <c r="D12" s="21" t="n">
        <f aca="false">COUNTIF('Test Log'!D$5:D$54,A12)</f>
        <v>0</v>
      </c>
      <c r="E12" s="21" t="n">
        <f aca="false">COUNTIFS('Test Log'!D$5:D$54,A12,'Test Log'!H$5:H$54,"PASS")</f>
        <v>0</v>
      </c>
      <c r="F12" s="21" t="n">
        <f aca="false">COUNTIFS('Test Log'!D$5:D$54,A12,'Test Log'!H$5:H$54,"FAIL")</f>
        <v>0</v>
      </c>
      <c r="G12" s="21" t="n">
        <f aca="false">COUNTIFS('Test Log'!D$5:D$54,A12,'Test Log'!H$5:H$54,"PARTIAL")</f>
        <v>0</v>
      </c>
      <c r="H12" s="22" t="n">
        <f aca="false">IFERROR(E12/D12,0)</f>
        <v>0</v>
      </c>
      <c r="I12" s="23" t="n">
        <f aca="false">IFERROR(AVERAGEIF('Test Log'!D$5:D$54,A12,'Test Log'!I$5:I$54),0)</f>
        <v>0</v>
      </c>
      <c r="J12" s="21" t="n">
        <f aca="false">COUNTIFS('Test Log'!D$5:D$54,A12,'Test Log'!K$5:K$54,"Evet")</f>
        <v>0</v>
      </c>
      <c r="K12" s="22" t="n">
        <f aca="false">IFERROR(J12/D12,0)</f>
        <v>0</v>
      </c>
      <c r="L12" s="21" t="str">
        <f aca="false">IF(K12&gt;0.3,"🔴 Yüksek",IF(K12&gt;0.1,"🟡 Orta","🟢 Düşük"))</f>
        <v>🟢 Düşük</v>
      </c>
    </row>
    <row r="13" customFormat="false" ht="15" hidden="false" customHeight="false" outlineLevel="0" collapsed="false">
      <c r="A13" s="14" t="s">
        <v>56</v>
      </c>
      <c r="B13" s="15" t="s">
        <v>57</v>
      </c>
      <c r="C13" s="15" t="s">
        <v>58</v>
      </c>
      <c r="D13" s="16" t="n">
        <f aca="false">COUNTIF('Test Log'!D$5:D$54,A13)</f>
        <v>0</v>
      </c>
      <c r="E13" s="16" t="n">
        <f aca="false">COUNTIFS('Test Log'!D$5:D$54,A13,'Test Log'!H$5:H$54,"PASS")</f>
        <v>0</v>
      </c>
      <c r="F13" s="16" t="n">
        <f aca="false">COUNTIFS('Test Log'!D$5:D$54,A13,'Test Log'!H$5:H$54,"FAIL")</f>
        <v>0</v>
      </c>
      <c r="G13" s="16" t="n">
        <f aca="false">COUNTIFS('Test Log'!D$5:D$54,A13,'Test Log'!H$5:H$54,"PARTIAL")</f>
        <v>0</v>
      </c>
      <c r="H13" s="17" t="n">
        <f aca="false">IFERROR(E13/D13,0)</f>
        <v>0</v>
      </c>
      <c r="I13" s="18" t="n">
        <f aca="false">IFERROR(AVERAGEIF('Test Log'!D$5:D$54,A13,'Test Log'!I$5:I$54),0)</f>
        <v>0</v>
      </c>
      <c r="J13" s="16" t="n">
        <f aca="false">COUNTIFS('Test Log'!D$5:D$54,A13,'Test Log'!K$5:K$54,"Evet")</f>
        <v>0</v>
      </c>
      <c r="K13" s="17" t="n">
        <f aca="false">IFERROR(J13/D13,0)</f>
        <v>0</v>
      </c>
      <c r="L13" s="16" t="str">
        <f aca="false">IF(K13&gt;0.3,"🔴 Yüksek",IF(K13&gt;0.1,"🟡 Orta","🟢 Düşük"))</f>
        <v>🟢 Düşük</v>
      </c>
    </row>
    <row r="14" customFormat="false" ht="15" hidden="false" customHeight="false" outlineLevel="0" collapsed="false">
      <c r="A14" s="19" t="s">
        <v>59</v>
      </c>
      <c r="B14" s="20" t="s">
        <v>60</v>
      </c>
      <c r="C14" s="20" t="s">
        <v>61</v>
      </c>
      <c r="D14" s="21" t="n">
        <f aca="false">COUNTIF('Test Log'!D$5:D$54,A14)</f>
        <v>0</v>
      </c>
      <c r="E14" s="21" t="n">
        <f aca="false">COUNTIFS('Test Log'!D$5:D$54,A14,'Test Log'!H$5:H$54,"PASS")</f>
        <v>0</v>
      </c>
      <c r="F14" s="21" t="n">
        <f aca="false">COUNTIFS('Test Log'!D$5:D$54,A14,'Test Log'!H$5:H$54,"FAIL")</f>
        <v>0</v>
      </c>
      <c r="G14" s="21" t="n">
        <f aca="false">COUNTIFS('Test Log'!D$5:D$54,A14,'Test Log'!H$5:H$54,"PARTIAL")</f>
        <v>0</v>
      </c>
      <c r="H14" s="22" t="n">
        <f aca="false">IFERROR(E14/D14,0)</f>
        <v>0</v>
      </c>
      <c r="I14" s="23" t="n">
        <f aca="false">IFERROR(AVERAGEIF('Test Log'!D$5:D$54,A14,'Test Log'!I$5:I$54),0)</f>
        <v>0</v>
      </c>
      <c r="J14" s="21" t="n">
        <f aca="false">COUNTIFS('Test Log'!D$5:D$54,A14,'Test Log'!K$5:K$54,"Evet")</f>
        <v>0</v>
      </c>
      <c r="K14" s="22" t="n">
        <f aca="false">IFERROR(J14/D14,0)</f>
        <v>0</v>
      </c>
      <c r="L14" s="21" t="str">
        <f aca="false">IF(K14&gt;0.3,"🔴 Yüksek",IF(K14&gt;0.1,"🟡 Orta","🟢 Düşük"))</f>
        <v>🟢 Düşük</v>
      </c>
    </row>
    <row r="15" customFormat="false" ht="15" hidden="false" customHeight="false" outlineLevel="0" collapsed="false">
      <c r="A15" s="14" t="s">
        <v>62</v>
      </c>
      <c r="B15" s="15" t="s">
        <v>63</v>
      </c>
      <c r="C15" s="15" t="s">
        <v>64</v>
      </c>
      <c r="D15" s="16" t="n">
        <f aca="false">COUNTIF('Test Log'!D$5:D$54,A15)</f>
        <v>0</v>
      </c>
      <c r="E15" s="16" t="n">
        <f aca="false">COUNTIFS('Test Log'!D$5:D$54,A15,'Test Log'!H$5:H$54,"PASS")</f>
        <v>0</v>
      </c>
      <c r="F15" s="16" t="n">
        <f aca="false">COUNTIFS('Test Log'!D$5:D$54,A15,'Test Log'!H$5:H$54,"FAIL")</f>
        <v>0</v>
      </c>
      <c r="G15" s="16" t="n">
        <f aca="false">COUNTIFS('Test Log'!D$5:D$54,A15,'Test Log'!H$5:H$54,"PARTIAL")</f>
        <v>0</v>
      </c>
      <c r="H15" s="17" t="n">
        <f aca="false">IFERROR(E15/D15,0)</f>
        <v>0</v>
      </c>
      <c r="I15" s="18" t="n">
        <f aca="false">IFERROR(AVERAGEIF('Test Log'!D$5:D$54,A15,'Test Log'!I$5:I$54),0)</f>
        <v>0</v>
      </c>
      <c r="J15" s="16" t="n">
        <f aca="false">COUNTIFS('Test Log'!D$5:D$54,A15,'Test Log'!K$5:K$54,"Evet")</f>
        <v>0</v>
      </c>
      <c r="K15" s="17" t="n">
        <f aca="false">IFERROR(J15/D15,0)</f>
        <v>0</v>
      </c>
      <c r="L15" s="16" t="str">
        <f aca="false">IF(K15&gt;0.3,"🔴 Yüksek",IF(K15&gt;0.1,"🟡 Orta","🟢 Düşük"))</f>
        <v>🟢 Düşük</v>
      </c>
    </row>
    <row r="16" customFormat="false" ht="15" hidden="false" customHeight="false" outlineLevel="0" collapsed="false">
      <c r="A16" s="19" t="s">
        <v>65</v>
      </c>
      <c r="B16" s="20" t="s">
        <v>66</v>
      </c>
      <c r="C16" s="20" t="s">
        <v>67</v>
      </c>
      <c r="D16" s="21" t="n">
        <f aca="false">COUNTIF('Test Log'!D$5:D$54,A16)</f>
        <v>0</v>
      </c>
      <c r="E16" s="21" t="n">
        <f aca="false">COUNTIFS('Test Log'!D$5:D$54,A16,'Test Log'!H$5:H$54,"PASS")</f>
        <v>0</v>
      </c>
      <c r="F16" s="21" t="n">
        <f aca="false">COUNTIFS('Test Log'!D$5:D$54,A16,'Test Log'!H$5:H$54,"FAIL")</f>
        <v>0</v>
      </c>
      <c r="G16" s="21" t="n">
        <f aca="false">COUNTIFS('Test Log'!D$5:D$54,A16,'Test Log'!H$5:H$54,"PARTIAL")</f>
        <v>0</v>
      </c>
      <c r="H16" s="22" t="n">
        <f aca="false">IFERROR(E16/D16,0)</f>
        <v>0</v>
      </c>
      <c r="I16" s="23" t="n">
        <f aca="false">IFERROR(AVERAGEIF('Test Log'!D$5:D$54,A16,'Test Log'!I$5:I$54),0)</f>
        <v>0</v>
      </c>
      <c r="J16" s="21" t="n">
        <f aca="false">COUNTIFS('Test Log'!D$5:D$54,A16,'Test Log'!K$5:K$54,"Evet")</f>
        <v>0</v>
      </c>
      <c r="K16" s="22" t="n">
        <f aca="false">IFERROR(J16/D16,0)</f>
        <v>0</v>
      </c>
      <c r="L16" s="21" t="str">
        <f aca="false">IF(K16&gt;0.3,"🔴 Yüksek",IF(K16&gt;0.1,"🟡 Orta","🟢 Düşük"))</f>
        <v>🟢 Düşük</v>
      </c>
    </row>
    <row r="17" customFormat="false" ht="15" hidden="false" customHeight="false" outlineLevel="0" collapsed="false">
      <c r="A17" s="14" t="s">
        <v>68</v>
      </c>
      <c r="B17" s="15" t="s">
        <v>69</v>
      </c>
      <c r="C17" s="15" t="s">
        <v>70</v>
      </c>
      <c r="D17" s="16" t="n">
        <f aca="false">COUNTIF('Test Log'!D$5:D$54,A17)</f>
        <v>0</v>
      </c>
      <c r="E17" s="16" t="n">
        <f aca="false">COUNTIFS('Test Log'!D$5:D$54,A17,'Test Log'!H$5:H$54,"PASS")</f>
        <v>0</v>
      </c>
      <c r="F17" s="16" t="n">
        <f aca="false">COUNTIFS('Test Log'!D$5:D$54,A17,'Test Log'!H$5:H$54,"FAIL")</f>
        <v>0</v>
      </c>
      <c r="G17" s="16" t="n">
        <f aca="false">COUNTIFS('Test Log'!D$5:D$54,A17,'Test Log'!H$5:H$54,"PARTIAL")</f>
        <v>0</v>
      </c>
      <c r="H17" s="17" t="n">
        <f aca="false">IFERROR(E17/D17,0)</f>
        <v>0</v>
      </c>
      <c r="I17" s="18" t="n">
        <f aca="false">IFERROR(AVERAGEIF('Test Log'!D$5:D$54,A17,'Test Log'!I$5:I$54),0)</f>
        <v>0</v>
      </c>
      <c r="J17" s="16" t="n">
        <f aca="false">COUNTIFS('Test Log'!D$5:D$54,A17,'Test Log'!K$5:K$54,"Evet")</f>
        <v>0</v>
      </c>
      <c r="K17" s="17" t="n">
        <f aca="false">IFERROR(J17/D17,0)</f>
        <v>0</v>
      </c>
      <c r="L17" s="16" t="str">
        <f aca="false">IF(K17&gt;0.3,"🔴 Yüksek",IF(K17&gt;0.1,"🟡 Orta","🟢 Düşük"))</f>
        <v>🟢 Düşük</v>
      </c>
    </row>
    <row r="18" customFormat="false" ht="15" hidden="false" customHeight="false" outlineLevel="0" collapsed="false">
      <c r="A18" s="19" t="s">
        <v>71</v>
      </c>
      <c r="B18" s="20" t="s">
        <v>72</v>
      </c>
      <c r="C18" s="20" t="s">
        <v>73</v>
      </c>
      <c r="D18" s="21" t="n">
        <f aca="false">COUNTIF('Test Log'!D$5:D$54,A18)</f>
        <v>0</v>
      </c>
      <c r="E18" s="21" t="n">
        <f aca="false">COUNTIFS('Test Log'!D$5:D$54,A18,'Test Log'!H$5:H$54,"PASS")</f>
        <v>0</v>
      </c>
      <c r="F18" s="21" t="n">
        <f aca="false">COUNTIFS('Test Log'!D$5:D$54,A18,'Test Log'!H$5:H$54,"FAIL")</f>
        <v>0</v>
      </c>
      <c r="G18" s="21" t="n">
        <f aca="false">COUNTIFS('Test Log'!D$5:D$54,A18,'Test Log'!H$5:H$54,"PARTIAL")</f>
        <v>0</v>
      </c>
      <c r="H18" s="22" t="n">
        <f aca="false">IFERROR(E18/D18,0)</f>
        <v>0</v>
      </c>
      <c r="I18" s="23" t="n">
        <f aca="false">IFERROR(AVERAGEIF('Test Log'!D$5:D$54,A18,'Test Log'!I$5:I$54),0)</f>
        <v>0</v>
      </c>
      <c r="J18" s="21" t="n">
        <f aca="false">COUNTIFS('Test Log'!D$5:D$54,A18,'Test Log'!K$5:K$54,"Evet")</f>
        <v>0</v>
      </c>
      <c r="K18" s="22" t="n">
        <f aca="false">IFERROR(J18/D18,0)</f>
        <v>0</v>
      </c>
      <c r="L18" s="21" t="str">
        <f aca="false">IF(K18&gt;0.3,"🔴 Yüksek",IF(K18&gt;0.1,"🟡 Orta","🟢 Düşük"))</f>
        <v>🟢 Düşük</v>
      </c>
    </row>
    <row r="19" customFormat="false" ht="15" hidden="false" customHeight="false" outlineLevel="0" collapsed="false">
      <c r="A19" s="14" t="s">
        <v>74</v>
      </c>
      <c r="B19" s="15" t="s">
        <v>75</v>
      </c>
      <c r="C19" s="15" t="s">
        <v>76</v>
      </c>
      <c r="D19" s="16" t="n">
        <f aca="false">COUNTIF('Test Log'!D$5:D$54,A19)</f>
        <v>0</v>
      </c>
      <c r="E19" s="16" t="n">
        <f aca="false">COUNTIFS('Test Log'!D$5:D$54,A19,'Test Log'!H$5:H$54,"PASS")</f>
        <v>0</v>
      </c>
      <c r="F19" s="16" t="n">
        <f aca="false">COUNTIFS('Test Log'!D$5:D$54,A19,'Test Log'!H$5:H$54,"FAIL")</f>
        <v>0</v>
      </c>
      <c r="G19" s="16" t="n">
        <f aca="false">COUNTIFS('Test Log'!D$5:D$54,A19,'Test Log'!H$5:H$54,"PARTIAL")</f>
        <v>0</v>
      </c>
      <c r="H19" s="17" t="n">
        <f aca="false">IFERROR(E19/D19,0)</f>
        <v>0</v>
      </c>
      <c r="I19" s="18" t="n">
        <f aca="false">IFERROR(AVERAGEIF('Test Log'!D$5:D$54,A19,'Test Log'!I$5:I$54),0)</f>
        <v>0</v>
      </c>
      <c r="J19" s="16" t="n">
        <f aca="false">COUNTIFS('Test Log'!D$5:D$54,A19,'Test Log'!K$5:K$54,"Evet")</f>
        <v>0</v>
      </c>
      <c r="K19" s="17" t="n">
        <f aca="false">IFERROR(J19/D19,0)</f>
        <v>0</v>
      </c>
      <c r="L19" s="16" t="str">
        <f aca="false">IF(K19&gt;0.3,"🔴 Yüksek",IF(K19&gt;0.1,"🟡 Orta","🟢 Düşük"))</f>
        <v>🟢 Düşük</v>
      </c>
    </row>
  </sheetData>
  <mergeCells count="2">
    <mergeCell ref="A1:L1"/>
    <mergeCell ref="A2:L2"/>
  </mergeCells>
  <conditionalFormatting sqref="H5:H19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conditionalFormatting sqref="K5:K19">
    <cfRule type="colorScale" priority="3">
      <colorScale>
        <cfvo type="num" val="0"/>
        <cfvo type="num" val="0.2"/>
        <cfvo type="num" val="0.5"/>
        <color rgb="FF27AE60"/>
        <color rgb="FFF39C12"/>
        <color rgb="FFE74C3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7" min="6" style="0" width="45"/>
    <col collapsed="false" customWidth="true" hidden="false" outlineLevel="0" max="8" min="8" style="0" width="40"/>
    <col collapsed="false" customWidth="true" hidden="false" outlineLevel="0" max="10" min="9" style="0" width="22"/>
  </cols>
  <sheetData>
    <row r="1" customFormat="false" ht="27.75" hidden="false" customHeight="true" outlineLevel="0" collapsed="false">
      <c r="A1" s="24" t="s">
        <v>77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5" hidden="false" customHeight="false" outlineLevel="0" collapsed="false">
      <c r="A2" s="25" t="s">
        <v>78</v>
      </c>
      <c r="B2" s="25"/>
      <c r="C2" s="25"/>
      <c r="D2" s="25"/>
      <c r="E2" s="25"/>
      <c r="F2" s="25"/>
      <c r="G2" s="25"/>
      <c r="H2" s="25"/>
      <c r="I2" s="25"/>
      <c r="J2" s="25"/>
    </row>
    <row r="3" customFormat="false" ht="6" hidden="false" customHeight="true" outlineLevel="0" collapsed="false"/>
    <row r="4" customFormat="false" ht="15" hidden="false" customHeight="false" outlineLevel="0" collapsed="false">
      <c r="A4" s="26" t="s">
        <v>2</v>
      </c>
      <c r="B4" s="26" t="s">
        <v>5</v>
      </c>
      <c r="C4" s="26" t="s">
        <v>3</v>
      </c>
      <c r="D4" s="26" t="s">
        <v>79</v>
      </c>
      <c r="E4" s="26" t="s">
        <v>13</v>
      </c>
      <c r="F4" s="26" t="s">
        <v>80</v>
      </c>
      <c r="G4" s="26" t="s">
        <v>81</v>
      </c>
      <c r="H4" s="26" t="s">
        <v>82</v>
      </c>
      <c r="I4" s="26" t="s">
        <v>83</v>
      </c>
      <c r="J4" s="26" t="s">
        <v>84</v>
      </c>
    </row>
    <row r="5" customFormat="false" ht="15" hidden="false" customHeight="false" outlineLevel="0" collapsed="false">
      <c r="A5" s="16"/>
      <c r="B5" s="16"/>
      <c r="C5" s="27"/>
      <c r="D5" s="16"/>
      <c r="E5" s="28"/>
      <c r="F5" s="29"/>
      <c r="G5" s="29"/>
      <c r="H5" s="29"/>
      <c r="I5" s="28"/>
      <c r="J5" s="28"/>
    </row>
    <row r="6" customFormat="false" ht="15" hidden="false" customHeight="false" outlineLevel="0" collapsed="false">
      <c r="A6" s="30"/>
      <c r="B6" s="30"/>
      <c r="C6" s="31"/>
      <c r="D6" s="30"/>
      <c r="E6" s="30"/>
      <c r="F6" s="32"/>
      <c r="G6" s="32"/>
      <c r="H6" s="32"/>
      <c r="I6" s="30"/>
      <c r="J6" s="30"/>
    </row>
    <row r="7" customFormat="false" ht="15" hidden="false" customHeight="false" outlineLevel="0" collapsed="false">
      <c r="A7" s="16"/>
      <c r="B7" s="16"/>
      <c r="C7" s="27"/>
      <c r="D7" s="16"/>
      <c r="E7" s="28"/>
      <c r="F7" s="29"/>
      <c r="G7" s="29"/>
      <c r="H7" s="29"/>
      <c r="I7" s="28"/>
      <c r="J7" s="28"/>
    </row>
    <row r="8" customFormat="false" ht="15" hidden="false" customHeight="false" outlineLevel="0" collapsed="false">
      <c r="A8" s="30"/>
      <c r="B8" s="30"/>
      <c r="C8" s="31"/>
      <c r="D8" s="30"/>
      <c r="E8" s="30"/>
      <c r="F8" s="32"/>
      <c r="G8" s="32"/>
      <c r="H8" s="32"/>
      <c r="I8" s="30"/>
      <c r="J8" s="30"/>
    </row>
    <row r="9" customFormat="false" ht="15" hidden="false" customHeight="false" outlineLevel="0" collapsed="false">
      <c r="A9" s="16"/>
      <c r="B9" s="16"/>
      <c r="C9" s="27"/>
      <c r="D9" s="16"/>
      <c r="E9" s="28"/>
      <c r="F9" s="29"/>
      <c r="G9" s="29"/>
      <c r="H9" s="29"/>
      <c r="I9" s="28"/>
      <c r="J9" s="28"/>
    </row>
    <row r="10" customFormat="false" ht="15" hidden="false" customHeight="false" outlineLevel="0" collapsed="false">
      <c r="A10" s="30"/>
      <c r="B10" s="30"/>
      <c r="C10" s="31"/>
      <c r="D10" s="30"/>
      <c r="E10" s="30"/>
      <c r="F10" s="32"/>
      <c r="G10" s="32"/>
      <c r="H10" s="32"/>
      <c r="I10" s="30"/>
      <c r="J10" s="30"/>
    </row>
    <row r="11" customFormat="false" ht="15" hidden="false" customHeight="false" outlineLevel="0" collapsed="false">
      <c r="A11" s="16"/>
      <c r="B11" s="16"/>
      <c r="C11" s="27"/>
      <c r="D11" s="16"/>
      <c r="E11" s="28"/>
      <c r="F11" s="29"/>
      <c r="G11" s="29"/>
      <c r="H11" s="29"/>
      <c r="I11" s="28"/>
      <c r="J11" s="28"/>
    </row>
    <row r="12" customFormat="false" ht="15" hidden="false" customHeight="false" outlineLevel="0" collapsed="false">
      <c r="A12" s="30"/>
      <c r="B12" s="30"/>
      <c r="C12" s="31"/>
      <c r="D12" s="30"/>
      <c r="E12" s="30"/>
      <c r="F12" s="32"/>
      <c r="G12" s="32"/>
      <c r="H12" s="32"/>
      <c r="I12" s="30"/>
      <c r="J12" s="30"/>
    </row>
    <row r="13" customFormat="false" ht="15" hidden="false" customHeight="false" outlineLevel="0" collapsed="false">
      <c r="A13" s="16"/>
      <c r="B13" s="16"/>
      <c r="C13" s="27"/>
      <c r="D13" s="16"/>
      <c r="E13" s="28"/>
      <c r="F13" s="29"/>
      <c r="G13" s="29"/>
      <c r="H13" s="29"/>
      <c r="I13" s="28"/>
      <c r="J13" s="28"/>
    </row>
    <row r="14" customFormat="false" ht="15" hidden="false" customHeight="false" outlineLevel="0" collapsed="false">
      <c r="A14" s="30"/>
      <c r="B14" s="30"/>
      <c r="C14" s="31"/>
      <c r="D14" s="30"/>
      <c r="E14" s="30"/>
      <c r="F14" s="32"/>
      <c r="G14" s="32"/>
      <c r="H14" s="32"/>
      <c r="I14" s="30"/>
      <c r="J14" s="30"/>
    </row>
    <row r="15" customFormat="false" ht="15" hidden="false" customHeight="false" outlineLevel="0" collapsed="false">
      <c r="A15" s="16"/>
      <c r="B15" s="16"/>
      <c r="C15" s="27"/>
      <c r="D15" s="16"/>
      <c r="E15" s="28"/>
      <c r="F15" s="29"/>
      <c r="G15" s="29"/>
      <c r="H15" s="29"/>
      <c r="I15" s="28"/>
      <c r="J15" s="28"/>
    </row>
    <row r="16" customFormat="false" ht="15" hidden="false" customHeight="false" outlineLevel="0" collapsed="false">
      <c r="A16" s="30"/>
      <c r="B16" s="30"/>
      <c r="C16" s="31"/>
      <c r="D16" s="30"/>
      <c r="E16" s="30"/>
      <c r="F16" s="32"/>
      <c r="G16" s="32"/>
      <c r="H16" s="32"/>
      <c r="I16" s="30"/>
      <c r="J16" s="30"/>
    </row>
    <row r="17" customFormat="false" ht="15" hidden="false" customHeight="false" outlineLevel="0" collapsed="false">
      <c r="A17" s="16"/>
      <c r="B17" s="16"/>
      <c r="C17" s="27"/>
      <c r="D17" s="16"/>
      <c r="E17" s="28"/>
      <c r="F17" s="29"/>
      <c r="G17" s="29"/>
      <c r="H17" s="29"/>
      <c r="I17" s="28"/>
      <c r="J17" s="28"/>
    </row>
    <row r="18" customFormat="false" ht="15" hidden="false" customHeight="false" outlineLevel="0" collapsed="false">
      <c r="A18" s="30"/>
      <c r="B18" s="30"/>
      <c r="C18" s="31"/>
      <c r="D18" s="30"/>
      <c r="E18" s="30"/>
      <c r="F18" s="32"/>
      <c r="G18" s="32"/>
      <c r="H18" s="32"/>
      <c r="I18" s="30"/>
      <c r="J18" s="30"/>
    </row>
    <row r="19" customFormat="false" ht="15" hidden="false" customHeight="false" outlineLevel="0" collapsed="false">
      <c r="A19" s="16"/>
      <c r="B19" s="16"/>
      <c r="C19" s="27"/>
      <c r="D19" s="16"/>
      <c r="E19" s="28"/>
      <c r="F19" s="29"/>
      <c r="G19" s="29"/>
      <c r="H19" s="29"/>
      <c r="I19" s="28"/>
      <c r="J19" s="28"/>
    </row>
    <row r="20" customFormat="false" ht="15" hidden="false" customHeight="false" outlineLevel="0" collapsed="false">
      <c r="A20" s="30"/>
      <c r="B20" s="30"/>
      <c r="C20" s="31"/>
      <c r="D20" s="30"/>
      <c r="E20" s="30"/>
      <c r="F20" s="32"/>
      <c r="G20" s="32"/>
      <c r="H20" s="32"/>
      <c r="I20" s="30"/>
      <c r="J20" s="30"/>
    </row>
    <row r="21" customFormat="false" ht="15" hidden="false" customHeight="false" outlineLevel="0" collapsed="false">
      <c r="A21" s="16"/>
      <c r="B21" s="16"/>
      <c r="C21" s="27"/>
      <c r="D21" s="16"/>
      <c r="E21" s="28"/>
      <c r="F21" s="29"/>
      <c r="G21" s="29"/>
      <c r="H21" s="29"/>
      <c r="I21" s="28"/>
      <c r="J21" s="28"/>
    </row>
    <row r="22" customFormat="false" ht="15" hidden="false" customHeight="false" outlineLevel="0" collapsed="false">
      <c r="A22" s="30"/>
      <c r="B22" s="30"/>
      <c r="C22" s="31"/>
      <c r="D22" s="30"/>
      <c r="E22" s="30"/>
      <c r="F22" s="32"/>
      <c r="G22" s="32"/>
      <c r="H22" s="32"/>
      <c r="I22" s="30"/>
      <c r="J22" s="30"/>
    </row>
    <row r="23" customFormat="false" ht="15" hidden="false" customHeight="false" outlineLevel="0" collapsed="false">
      <c r="A23" s="16"/>
      <c r="B23" s="16"/>
      <c r="C23" s="27"/>
      <c r="D23" s="16"/>
      <c r="E23" s="28"/>
      <c r="F23" s="29"/>
      <c r="G23" s="29"/>
      <c r="H23" s="29"/>
      <c r="I23" s="28"/>
      <c r="J23" s="28"/>
    </row>
    <row r="24" customFormat="false" ht="15" hidden="false" customHeight="false" outlineLevel="0" collapsed="false">
      <c r="A24" s="30"/>
      <c r="B24" s="30"/>
      <c r="C24" s="31"/>
      <c r="D24" s="30"/>
      <c r="E24" s="30"/>
      <c r="F24" s="32"/>
      <c r="G24" s="32"/>
      <c r="H24" s="32"/>
      <c r="I24" s="30"/>
      <c r="J24" s="30"/>
    </row>
    <row r="25" customFormat="false" ht="15" hidden="false" customHeight="false" outlineLevel="0" collapsed="false">
      <c r="A25" s="16"/>
      <c r="B25" s="16"/>
      <c r="C25" s="27"/>
      <c r="D25" s="16"/>
      <c r="E25" s="28"/>
      <c r="F25" s="29"/>
      <c r="G25" s="29"/>
      <c r="H25" s="29"/>
      <c r="I25" s="28"/>
      <c r="J25" s="28"/>
    </row>
    <row r="26" customFormat="false" ht="15" hidden="false" customHeight="false" outlineLevel="0" collapsed="false">
      <c r="A26" s="30"/>
      <c r="B26" s="30"/>
      <c r="C26" s="31"/>
      <c r="D26" s="30"/>
      <c r="E26" s="30"/>
      <c r="F26" s="32"/>
      <c r="G26" s="32"/>
      <c r="H26" s="32"/>
      <c r="I26" s="30"/>
      <c r="J26" s="30"/>
    </row>
    <row r="27" customFormat="false" ht="15" hidden="false" customHeight="false" outlineLevel="0" collapsed="false">
      <c r="A27" s="16"/>
      <c r="B27" s="16"/>
      <c r="C27" s="27"/>
      <c r="D27" s="16"/>
      <c r="E27" s="28"/>
      <c r="F27" s="29"/>
      <c r="G27" s="29"/>
      <c r="H27" s="29"/>
      <c r="I27" s="28"/>
      <c r="J27" s="28"/>
    </row>
    <row r="28" customFormat="false" ht="15" hidden="false" customHeight="false" outlineLevel="0" collapsed="false">
      <c r="A28" s="30"/>
      <c r="B28" s="30"/>
      <c r="C28" s="31"/>
      <c r="D28" s="30"/>
      <c r="E28" s="30"/>
      <c r="F28" s="32"/>
      <c r="G28" s="32"/>
      <c r="H28" s="32"/>
      <c r="I28" s="30"/>
      <c r="J28" s="30"/>
    </row>
    <row r="29" customFormat="false" ht="15" hidden="false" customHeight="false" outlineLevel="0" collapsed="false">
      <c r="A29" s="16"/>
      <c r="B29" s="16"/>
      <c r="C29" s="27"/>
      <c r="D29" s="16"/>
      <c r="E29" s="28"/>
      <c r="F29" s="29"/>
      <c r="G29" s="29"/>
      <c r="H29" s="29"/>
      <c r="I29" s="28"/>
      <c r="J29" s="28"/>
    </row>
    <row r="30" customFormat="false" ht="15" hidden="false" customHeight="false" outlineLevel="0" collapsed="false">
      <c r="A30" s="30"/>
      <c r="B30" s="30"/>
      <c r="C30" s="31"/>
      <c r="D30" s="30"/>
      <c r="E30" s="30"/>
      <c r="F30" s="32"/>
      <c r="G30" s="32"/>
      <c r="H30" s="32"/>
      <c r="I30" s="30"/>
      <c r="J30" s="30"/>
    </row>
    <row r="31" customFormat="false" ht="15" hidden="false" customHeight="false" outlineLevel="0" collapsed="false">
      <c r="A31" s="16"/>
      <c r="B31" s="16"/>
      <c r="C31" s="27"/>
      <c r="D31" s="16"/>
      <c r="E31" s="28"/>
      <c r="F31" s="29"/>
      <c r="G31" s="29"/>
      <c r="H31" s="29"/>
      <c r="I31" s="28"/>
      <c r="J31" s="28"/>
    </row>
    <row r="32" customFormat="false" ht="15" hidden="false" customHeight="false" outlineLevel="0" collapsed="false">
      <c r="A32" s="30"/>
      <c r="B32" s="30"/>
      <c r="C32" s="31"/>
      <c r="D32" s="30"/>
      <c r="E32" s="30"/>
      <c r="F32" s="32"/>
      <c r="G32" s="32"/>
      <c r="H32" s="32"/>
      <c r="I32" s="30"/>
      <c r="J32" s="30"/>
    </row>
    <row r="33" customFormat="false" ht="15" hidden="false" customHeight="false" outlineLevel="0" collapsed="false">
      <c r="A33" s="16"/>
      <c r="B33" s="16"/>
      <c r="C33" s="27"/>
      <c r="D33" s="16"/>
      <c r="E33" s="28"/>
      <c r="F33" s="29"/>
      <c r="G33" s="29"/>
      <c r="H33" s="29"/>
      <c r="I33" s="28"/>
      <c r="J33" s="28"/>
    </row>
    <row r="34" customFormat="false" ht="15" hidden="false" customHeight="false" outlineLevel="0" collapsed="false">
      <c r="A34" s="30"/>
      <c r="B34" s="30"/>
      <c r="C34" s="31"/>
      <c r="D34" s="30"/>
      <c r="E34" s="30"/>
      <c r="F34" s="32"/>
      <c r="G34" s="32"/>
      <c r="H34" s="32"/>
      <c r="I34" s="30"/>
      <c r="J34" s="30"/>
    </row>
    <row r="35" customFormat="false" ht="15" hidden="false" customHeight="false" outlineLevel="0" collapsed="false">
      <c r="A35" s="16"/>
      <c r="B35" s="16"/>
      <c r="C35" s="27"/>
      <c r="D35" s="16"/>
      <c r="E35" s="28"/>
      <c r="F35" s="29"/>
      <c r="G35" s="29"/>
      <c r="H35" s="29"/>
      <c r="I35" s="28"/>
      <c r="J35" s="28"/>
    </row>
    <row r="36" customFormat="false" ht="15" hidden="false" customHeight="false" outlineLevel="0" collapsed="false">
      <c r="A36" s="30"/>
      <c r="B36" s="30"/>
      <c r="C36" s="31"/>
      <c r="D36" s="30"/>
      <c r="E36" s="30"/>
      <c r="F36" s="32"/>
      <c r="G36" s="32"/>
      <c r="H36" s="32"/>
      <c r="I36" s="30"/>
      <c r="J36" s="30"/>
    </row>
    <row r="37" customFormat="false" ht="15" hidden="false" customHeight="false" outlineLevel="0" collapsed="false">
      <c r="A37" s="16"/>
      <c r="B37" s="16"/>
      <c r="C37" s="27"/>
      <c r="D37" s="16"/>
      <c r="E37" s="28"/>
      <c r="F37" s="29"/>
      <c r="G37" s="29"/>
      <c r="H37" s="29"/>
      <c r="I37" s="28"/>
      <c r="J37" s="28"/>
    </row>
    <row r="38" customFormat="false" ht="15" hidden="false" customHeight="false" outlineLevel="0" collapsed="false">
      <c r="A38" s="30"/>
      <c r="B38" s="30"/>
      <c r="C38" s="31"/>
      <c r="D38" s="30"/>
      <c r="E38" s="30"/>
      <c r="F38" s="32"/>
      <c r="G38" s="32"/>
      <c r="H38" s="32"/>
      <c r="I38" s="30"/>
      <c r="J38" s="30"/>
    </row>
    <row r="39" customFormat="false" ht="15" hidden="false" customHeight="false" outlineLevel="0" collapsed="false">
      <c r="A39" s="16"/>
      <c r="B39" s="16"/>
      <c r="C39" s="27"/>
      <c r="D39" s="16"/>
      <c r="E39" s="28"/>
      <c r="F39" s="29"/>
      <c r="G39" s="29"/>
      <c r="H39" s="29"/>
      <c r="I39" s="28"/>
      <c r="J39" s="28"/>
    </row>
    <row r="40" customFormat="false" ht="15" hidden="false" customHeight="false" outlineLevel="0" collapsed="false">
      <c r="A40" s="30"/>
      <c r="B40" s="30"/>
      <c r="C40" s="31"/>
      <c r="D40" s="30"/>
      <c r="E40" s="30"/>
      <c r="F40" s="32"/>
      <c r="G40" s="32"/>
      <c r="H40" s="32"/>
      <c r="I40" s="30"/>
      <c r="J40" s="30"/>
    </row>
    <row r="41" customFormat="false" ht="15" hidden="false" customHeight="false" outlineLevel="0" collapsed="false">
      <c r="A41" s="16"/>
      <c r="B41" s="16"/>
      <c r="C41" s="27"/>
      <c r="D41" s="16"/>
      <c r="E41" s="28"/>
      <c r="F41" s="29"/>
      <c r="G41" s="29"/>
      <c r="H41" s="29"/>
      <c r="I41" s="28"/>
      <c r="J41" s="28"/>
    </row>
    <row r="42" customFormat="false" ht="15" hidden="false" customHeight="false" outlineLevel="0" collapsed="false">
      <c r="A42" s="30"/>
      <c r="B42" s="30"/>
      <c r="C42" s="31"/>
      <c r="D42" s="30"/>
      <c r="E42" s="30"/>
      <c r="F42" s="32"/>
      <c r="G42" s="32"/>
      <c r="H42" s="32"/>
      <c r="I42" s="30"/>
      <c r="J42" s="30"/>
    </row>
    <row r="43" customFormat="false" ht="15" hidden="false" customHeight="false" outlineLevel="0" collapsed="false">
      <c r="A43" s="16"/>
      <c r="B43" s="16"/>
      <c r="C43" s="27"/>
      <c r="D43" s="16"/>
      <c r="E43" s="28"/>
      <c r="F43" s="29"/>
      <c r="G43" s="29"/>
      <c r="H43" s="29"/>
      <c r="I43" s="28"/>
      <c r="J43" s="28"/>
    </row>
    <row r="44" customFormat="false" ht="15" hidden="false" customHeight="false" outlineLevel="0" collapsed="false">
      <c r="A44" s="30"/>
      <c r="B44" s="30"/>
      <c r="C44" s="31"/>
      <c r="D44" s="30"/>
      <c r="E44" s="30"/>
      <c r="F44" s="32"/>
      <c r="G44" s="32"/>
      <c r="H44" s="32"/>
      <c r="I44" s="30"/>
      <c r="J44" s="30"/>
    </row>
    <row r="45" customFormat="false" ht="15" hidden="false" customHeight="false" outlineLevel="0" collapsed="false">
      <c r="A45" s="16"/>
      <c r="B45" s="16"/>
      <c r="C45" s="27"/>
      <c r="D45" s="16"/>
      <c r="E45" s="28"/>
      <c r="F45" s="29"/>
      <c r="G45" s="29"/>
      <c r="H45" s="29"/>
      <c r="I45" s="28"/>
      <c r="J45" s="28"/>
    </row>
    <row r="46" customFormat="false" ht="15" hidden="false" customHeight="false" outlineLevel="0" collapsed="false">
      <c r="A46" s="30"/>
      <c r="B46" s="30"/>
      <c r="C46" s="31"/>
      <c r="D46" s="30"/>
      <c r="E46" s="30"/>
      <c r="F46" s="32"/>
      <c r="G46" s="32"/>
      <c r="H46" s="32"/>
      <c r="I46" s="30"/>
      <c r="J46" s="30"/>
    </row>
    <row r="47" customFormat="false" ht="15" hidden="false" customHeight="false" outlineLevel="0" collapsed="false">
      <c r="A47" s="16"/>
      <c r="B47" s="16"/>
      <c r="C47" s="27"/>
      <c r="D47" s="16"/>
      <c r="E47" s="28"/>
      <c r="F47" s="29"/>
      <c r="G47" s="29"/>
      <c r="H47" s="29"/>
      <c r="I47" s="28"/>
      <c r="J47" s="28"/>
    </row>
    <row r="48" customFormat="false" ht="15" hidden="false" customHeight="false" outlineLevel="0" collapsed="false">
      <c r="A48" s="30"/>
      <c r="B48" s="30"/>
      <c r="C48" s="31"/>
      <c r="D48" s="30"/>
      <c r="E48" s="30"/>
      <c r="F48" s="32"/>
      <c r="G48" s="32"/>
      <c r="H48" s="32"/>
      <c r="I48" s="30"/>
      <c r="J48" s="30"/>
    </row>
    <row r="49" customFormat="false" ht="15" hidden="false" customHeight="false" outlineLevel="0" collapsed="false">
      <c r="A49" s="16"/>
      <c r="B49" s="16"/>
      <c r="C49" s="27"/>
      <c r="D49" s="16"/>
      <c r="E49" s="28"/>
      <c r="F49" s="29"/>
      <c r="G49" s="29"/>
      <c r="H49" s="29"/>
      <c r="I49" s="28"/>
      <c r="J49" s="28"/>
    </row>
    <row r="50" customFormat="false" ht="15" hidden="false" customHeight="false" outlineLevel="0" collapsed="false">
      <c r="A50" s="30"/>
      <c r="B50" s="30"/>
      <c r="C50" s="31"/>
      <c r="D50" s="30"/>
      <c r="E50" s="30"/>
      <c r="F50" s="32"/>
      <c r="G50" s="32"/>
      <c r="H50" s="32"/>
      <c r="I50" s="30"/>
      <c r="J50" s="30"/>
    </row>
    <row r="51" customFormat="false" ht="15" hidden="false" customHeight="false" outlineLevel="0" collapsed="false">
      <c r="A51" s="16"/>
      <c r="B51" s="16"/>
      <c r="C51" s="27"/>
      <c r="D51" s="16"/>
      <c r="E51" s="28"/>
      <c r="F51" s="29"/>
      <c r="G51" s="29"/>
      <c r="H51" s="29"/>
      <c r="I51" s="28"/>
      <c r="J51" s="28"/>
    </row>
    <row r="52" customFormat="false" ht="15" hidden="false" customHeight="false" outlineLevel="0" collapsed="false">
      <c r="A52" s="30"/>
      <c r="B52" s="30"/>
      <c r="C52" s="31"/>
      <c r="D52" s="30"/>
      <c r="E52" s="30"/>
      <c r="F52" s="32"/>
      <c r="G52" s="32"/>
      <c r="H52" s="32"/>
      <c r="I52" s="30"/>
      <c r="J52" s="30"/>
    </row>
    <row r="53" customFormat="false" ht="15" hidden="false" customHeight="false" outlineLevel="0" collapsed="false">
      <c r="A53" s="16"/>
      <c r="B53" s="16"/>
      <c r="C53" s="27"/>
      <c r="D53" s="16"/>
      <c r="E53" s="28"/>
      <c r="F53" s="29"/>
      <c r="G53" s="29"/>
      <c r="H53" s="29"/>
      <c r="I53" s="28"/>
      <c r="J53" s="28"/>
    </row>
    <row r="54" customFormat="false" ht="15" hidden="false" customHeight="false" outlineLevel="0" collapsed="false">
      <c r="A54" s="30"/>
      <c r="B54" s="30"/>
      <c r="C54" s="31"/>
      <c r="D54" s="30"/>
      <c r="E54" s="30"/>
      <c r="F54" s="32"/>
      <c r="G54" s="32"/>
      <c r="H54" s="32"/>
      <c r="I54" s="30"/>
      <c r="J54" s="30"/>
    </row>
  </sheetData>
  <mergeCells count="2">
    <mergeCell ref="A1:J1"/>
    <mergeCell ref="A2:J2"/>
  </mergeCells>
  <dataValidations count="3">
    <dataValidation allowBlank="false" errorStyle="stop" operator="between" showDropDown="false" showErrorMessage="false" showInputMessage="false" sqref="E5:E54" type="list">
      <formula1>"Yok,Uydurma Parça,Yanlış Teşhis,Protokol Dışı,Dil Karışımı,Diğer"</formula1>
      <formula2>0</formula2>
    </dataValidation>
    <dataValidation allowBlank="false" errorStyle="stop" operator="between" showDropDown="false" showErrorMessage="false" showInputMessage="false" sqref="I5:I54" type="list">
      <formula1>"Giriş Filtresi,Prompt Hardening,Çıkış Filtresi,Tespit Edilemedi"</formula1>
      <formula2>0</formula2>
    </dataValidation>
    <dataValidation allowBlank="false" errorStyle="stop" operator="between" showDropDown="false" showErrorMessage="false" showInputMessage="false" sqref="J5:J54" type="list">
      <formula1>"İnceleniyor,Prompt Güncellendi,Lambda Güncellendi,Kapatıldı,Yok Sayıldı"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31.5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customFormat="false" ht="15" hidden="false" customHeight="false" outlineLevel="0" collapsed="false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3" t="s">
        <v>87</v>
      </c>
      <c r="D4" s="3" t="s">
        <v>24</v>
      </c>
      <c r="F4" s="3" t="s">
        <v>25</v>
      </c>
      <c r="H4" s="3" t="s">
        <v>26</v>
      </c>
      <c r="J4" s="3" t="s">
        <v>88</v>
      </c>
      <c r="L4" s="3" t="s">
        <v>89</v>
      </c>
      <c r="N4" s="3" t="s">
        <v>90</v>
      </c>
    </row>
    <row r="5" customFormat="false" ht="37.5" hidden="false" customHeight="true" outlineLevel="0" collapsed="false">
      <c r="B5" s="34" t="n">
        <f aca="false">COUNTA('Test Log'!B5:B54)</f>
        <v>0</v>
      </c>
      <c r="D5" s="35" t="n">
        <f aca="false">COUNTIF('Test Log'!H5:H54,"PASS")</f>
        <v>0</v>
      </c>
      <c r="F5" s="36" t="n">
        <f aca="false">COUNTIF('Test Log'!H5:H54,"FAIL")</f>
        <v>0</v>
      </c>
      <c r="H5" s="37" t="n">
        <f aca="false">COUNTIF('Test Log'!H5:H54,"PARTIAL")</f>
        <v>0</v>
      </c>
      <c r="J5" s="38" t="n">
        <f aca="false">IFERROR(COUNTIF('Test Log'!H5:H54,"PASS")/COUNTA('Test Log'!H5:H54),0)</f>
        <v>0</v>
      </c>
      <c r="L5" s="39" t="n">
        <f aca="false">COUNTIF('Test Log'!K5:K54,"Evet")</f>
        <v>0</v>
      </c>
      <c r="N5" s="40" t="n">
        <f aca="false">IFERROR(COUNTIF('Test Log'!K5:K54,"Evet")/COUNTA('Test Log'!B5:B54),0)</f>
        <v>0</v>
      </c>
    </row>
    <row r="6" customFormat="false" ht="13.5" hidden="false" customHeight="true" outlineLevel="0" collapsed="false"/>
    <row r="7" customFormat="false" ht="15" hidden="false" customHeight="false" outlineLevel="0" collapsed="false">
      <c r="B7" s="41" t="s">
        <v>91</v>
      </c>
      <c r="C7" s="41"/>
      <c r="D7" s="41"/>
      <c r="E7" s="41"/>
      <c r="F7" s="41"/>
      <c r="G7" s="41"/>
      <c r="H7" s="41"/>
      <c r="J7" s="42" t="s">
        <v>92</v>
      </c>
      <c r="K7" s="42"/>
      <c r="L7" s="42"/>
      <c r="M7" s="42"/>
      <c r="N7" s="42"/>
    </row>
    <row r="8" customFormat="false" ht="15" hidden="false" customHeight="false" outlineLevel="0" collapsed="false">
      <c r="B8" s="43" t="s">
        <v>5</v>
      </c>
      <c r="C8" s="43" t="s">
        <v>6</v>
      </c>
      <c r="D8" s="43" t="s">
        <v>93</v>
      </c>
      <c r="E8" s="43" t="s">
        <v>24</v>
      </c>
      <c r="F8" s="43" t="s">
        <v>94</v>
      </c>
      <c r="G8" s="43" t="s">
        <v>89</v>
      </c>
      <c r="H8" s="43" t="s">
        <v>95</v>
      </c>
      <c r="J8" s="44" t="s">
        <v>96</v>
      </c>
      <c r="K8" s="44" t="s">
        <v>97</v>
      </c>
    </row>
    <row r="9" customFormat="false" ht="15" hidden="false" customHeight="false" outlineLevel="0" collapsed="false">
      <c r="B9" s="21" t="str">
        <f aca="false">'Senaryo Analizi'!A5</f>
        <v>S01</v>
      </c>
      <c r="C9" s="20" t="str">
        <f aca="false">'Senaryo Analizi'!B5</f>
        <v>Motor Çalışmıyor</v>
      </c>
      <c r="D9" s="21" t="n">
        <f aca="false">'Senaryo Analizi'!D5</f>
        <v>0</v>
      </c>
      <c r="E9" s="21" t="n">
        <f aca="false">'Senaryo Analizi'!E5</f>
        <v>0</v>
      </c>
      <c r="F9" s="22" t="n">
        <f aca="false">'Senaryo Analizi'!H5</f>
        <v>0</v>
      </c>
      <c r="G9" s="21" t="n">
        <f aca="false">'Senaryo Analizi'!J5</f>
        <v>0</v>
      </c>
      <c r="H9" s="21" t="str">
        <f aca="false">'Senaryo Analizi'!L5</f>
        <v>🟢 Düşük</v>
      </c>
      <c r="J9" s="15" t="s">
        <v>98</v>
      </c>
      <c r="K9" s="45" t="n">
        <f aca="false">COUNTIF('Test Log'!L$5:L$54,J9)</f>
        <v>0</v>
      </c>
    </row>
    <row r="10" customFormat="false" ht="15" hidden="false" customHeight="false" outlineLevel="0" collapsed="false">
      <c r="B10" s="16" t="str">
        <f aca="false">'Senaryo Analizi'!A6</f>
        <v>S02</v>
      </c>
      <c r="C10" s="15" t="str">
        <f aca="false">'Senaryo Analizi'!B6</f>
        <v>Aşırı Isınma</v>
      </c>
      <c r="D10" s="16" t="n">
        <f aca="false">'Senaryo Analizi'!D6</f>
        <v>0</v>
      </c>
      <c r="E10" s="16" t="n">
        <f aca="false">'Senaryo Analizi'!E6</f>
        <v>0</v>
      </c>
      <c r="F10" s="17" t="n">
        <f aca="false">'Senaryo Analizi'!H6</f>
        <v>0</v>
      </c>
      <c r="G10" s="16" t="n">
        <f aca="false">'Senaryo Analizi'!J6</f>
        <v>0</v>
      </c>
      <c r="H10" s="16" t="str">
        <f aca="false">'Senaryo Analizi'!L6</f>
        <v>🟢 Düşük</v>
      </c>
      <c r="J10" s="20" t="s">
        <v>99</v>
      </c>
      <c r="K10" s="46" t="n">
        <f aca="false">COUNTIF('Test Log'!L$5:L$54,J10)</f>
        <v>0</v>
      </c>
    </row>
    <row r="11" customFormat="false" ht="15" hidden="false" customHeight="false" outlineLevel="0" collapsed="false">
      <c r="B11" s="21" t="str">
        <f aca="false">'Senaryo Analizi'!A7</f>
        <v>S03</v>
      </c>
      <c r="C11" s="20" t="str">
        <f aca="false">'Senaryo Analizi'!B7</f>
        <v>Fren Titremesi</v>
      </c>
      <c r="D11" s="21" t="n">
        <f aca="false">'Senaryo Analizi'!D7</f>
        <v>0</v>
      </c>
      <c r="E11" s="21" t="n">
        <f aca="false">'Senaryo Analizi'!E7</f>
        <v>0</v>
      </c>
      <c r="F11" s="22" t="n">
        <f aca="false">'Senaryo Analizi'!H7</f>
        <v>0</v>
      </c>
      <c r="G11" s="21" t="n">
        <f aca="false">'Senaryo Analizi'!J7</f>
        <v>0</v>
      </c>
      <c r="H11" s="21" t="str">
        <f aca="false">'Senaryo Analizi'!L7</f>
        <v>🟢 Düşük</v>
      </c>
      <c r="J11" s="15" t="s">
        <v>100</v>
      </c>
      <c r="K11" s="45" t="n">
        <f aca="false">COUNTIF('Test Log'!L$5:L$54,J11)</f>
        <v>0</v>
      </c>
    </row>
    <row r="12" customFormat="false" ht="15" hidden="false" customHeight="false" outlineLevel="0" collapsed="false">
      <c r="B12" s="16" t="str">
        <f aca="false">'Senaryo Analizi'!A8</f>
        <v>S04</v>
      </c>
      <c r="C12" s="15" t="str">
        <f aca="false">'Senaryo Analizi'!B8</f>
        <v>Egzoz Dumanı</v>
      </c>
      <c r="D12" s="16" t="n">
        <f aca="false">'Senaryo Analizi'!D8</f>
        <v>0</v>
      </c>
      <c r="E12" s="16" t="n">
        <f aca="false">'Senaryo Analizi'!E8</f>
        <v>0</v>
      </c>
      <c r="F12" s="17" t="n">
        <f aca="false">'Senaryo Analizi'!H8</f>
        <v>0</v>
      </c>
      <c r="G12" s="16" t="n">
        <f aca="false">'Senaryo Analizi'!J8</f>
        <v>0</v>
      </c>
      <c r="H12" s="16" t="str">
        <f aca="false">'Senaryo Analizi'!L8</f>
        <v>🟢 Düşük</v>
      </c>
      <c r="J12" s="20" t="s">
        <v>101</v>
      </c>
      <c r="K12" s="46" t="n">
        <f aca="false">COUNTIF('Test Log'!L$5:L$54,J12)</f>
        <v>0</v>
      </c>
    </row>
    <row r="13" customFormat="false" ht="15" hidden="false" customHeight="false" outlineLevel="0" collapsed="false">
      <c r="B13" s="21" t="str">
        <f aca="false">'Senaryo Analizi'!A9</f>
        <v>S05</v>
      </c>
      <c r="C13" s="20" t="str">
        <f aca="false">'Senaryo Analizi'!B9</f>
        <v>Şanzıman Kayması</v>
      </c>
      <c r="D13" s="21" t="n">
        <f aca="false">'Senaryo Analizi'!D9</f>
        <v>0</v>
      </c>
      <c r="E13" s="21" t="n">
        <f aca="false">'Senaryo Analizi'!E9</f>
        <v>0</v>
      </c>
      <c r="F13" s="22" t="n">
        <f aca="false">'Senaryo Analizi'!H9</f>
        <v>0</v>
      </c>
      <c r="G13" s="21" t="n">
        <f aca="false">'Senaryo Analizi'!J9</f>
        <v>0</v>
      </c>
      <c r="H13" s="21" t="str">
        <f aca="false">'Senaryo Analizi'!L9</f>
        <v>🟢 Düşük</v>
      </c>
      <c r="J13" s="15" t="s">
        <v>102</v>
      </c>
      <c r="K13" s="45" t="n">
        <f aca="false">COUNTIF('Test Log'!L$5:L$54,J13)</f>
        <v>0</v>
      </c>
    </row>
    <row r="14" customFormat="false" ht="15" hidden="false" customHeight="false" outlineLevel="0" collapsed="false">
      <c r="B14" s="16" t="str">
        <f aca="false">'Senaryo Analizi'!A10</f>
        <v>S06</v>
      </c>
      <c r="C14" s="15" t="str">
        <f aca="false">'Senaryo Analizi'!B10</f>
        <v>Akü Sorunu</v>
      </c>
      <c r="D14" s="16" t="n">
        <f aca="false">'Senaryo Analizi'!D10</f>
        <v>0</v>
      </c>
      <c r="E14" s="16" t="n">
        <f aca="false">'Senaryo Analizi'!E10</f>
        <v>0</v>
      </c>
      <c r="F14" s="17" t="n">
        <f aca="false">'Senaryo Analizi'!H10</f>
        <v>0</v>
      </c>
      <c r="G14" s="16" t="n">
        <f aca="false">'Senaryo Analizi'!J10</f>
        <v>0</v>
      </c>
      <c r="H14" s="16" t="str">
        <f aca="false">'Senaryo Analizi'!L10</f>
        <v>🟢 Düşük</v>
      </c>
    </row>
    <row r="15" customFormat="false" ht="15" hidden="false" customHeight="true" outlineLevel="0" collapsed="false">
      <c r="B15" s="21" t="str">
        <f aca="false">'Senaryo Analizi'!A11</f>
        <v>S07</v>
      </c>
      <c r="C15" s="20" t="str">
        <f aca="false">'Senaryo Analizi'!B11</f>
        <v>A/C Soğutmuyor</v>
      </c>
      <c r="D15" s="21" t="n">
        <f aca="false">'Senaryo Analizi'!D11</f>
        <v>0</v>
      </c>
      <c r="E15" s="21" t="n">
        <f aca="false">'Senaryo Analizi'!E11</f>
        <v>0</v>
      </c>
      <c r="F15" s="22" t="n">
        <f aca="false">'Senaryo Analizi'!H11</f>
        <v>0</v>
      </c>
      <c r="G15" s="21" t="n">
        <f aca="false">'Senaryo Analizi'!J11</f>
        <v>0</v>
      </c>
      <c r="H15" s="21" t="str">
        <f aca="false">'Senaryo Analizi'!L11</f>
        <v>🟢 Düşük</v>
      </c>
      <c r="J15" s="47" t="s">
        <v>103</v>
      </c>
      <c r="K15" s="47"/>
      <c r="L15" s="47"/>
      <c r="M15" s="47"/>
      <c r="N15" s="47"/>
    </row>
    <row r="16" customFormat="false" ht="15" hidden="false" customHeight="false" outlineLevel="0" collapsed="false">
      <c r="B16" s="16" t="str">
        <f aca="false">'Senaryo Analizi'!A12</f>
        <v>S08</v>
      </c>
      <c r="C16" s="15" t="str">
        <f aca="false">'Senaryo Analizi'!B12</f>
        <v>Sert Vites</v>
      </c>
      <c r="D16" s="16" t="n">
        <f aca="false">'Senaryo Analizi'!D12</f>
        <v>0</v>
      </c>
      <c r="E16" s="16" t="n">
        <f aca="false">'Senaryo Analizi'!E12</f>
        <v>0</v>
      </c>
      <c r="F16" s="17" t="n">
        <f aca="false">'Senaryo Analizi'!H12</f>
        <v>0</v>
      </c>
      <c r="G16" s="16" t="n">
        <f aca="false">'Senaryo Analizi'!J12</f>
        <v>0</v>
      </c>
      <c r="H16" s="16" t="str">
        <f aca="false">'Senaryo Analizi'!L12</f>
        <v>🟢 Düşük</v>
      </c>
      <c r="J16" s="47"/>
      <c r="K16" s="47"/>
      <c r="L16" s="47"/>
      <c r="M16" s="47"/>
      <c r="N16" s="47"/>
    </row>
    <row r="17" customFormat="false" ht="15" hidden="false" customHeight="false" outlineLevel="0" collapsed="false">
      <c r="B17" s="21" t="str">
        <f aca="false">'Senaryo Analizi'!A13</f>
        <v>S09</v>
      </c>
      <c r="C17" s="20" t="str">
        <f aca="false">'Senaryo Analizi'!B13</f>
        <v>Check Engine Işığı</v>
      </c>
      <c r="D17" s="21" t="n">
        <f aca="false">'Senaryo Analizi'!D13</f>
        <v>0</v>
      </c>
      <c r="E17" s="21" t="n">
        <f aca="false">'Senaryo Analizi'!E13</f>
        <v>0</v>
      </c>
      <c r="F17" s="22" t="n">
        <f aca="false">'Senaryo Analizi'!H13</f>
        <v>0</v>
      </c>
      <c r="G17" s="21" t="n">
        <f aca="false">'Senaryo Analizi'!J13</f>
        <v>0</v>
      </c>
      <c r="H17" s="21" t="str">
        <f aca="false">'Senaryo Analizi'!L13</f>
        <v>🟢 Düşük</v>
      </c>
      <c r="J17" s="47"/>
      <c r="K17" s="47"/>
      <c r="L17" s="47"/>
      <c r="M17" s="47"/>
      <c r="N17" s="47"/>
    </row>
    <row r="18" customFormat="false" ht="15" hidden="false" customHeight="false" outlineLevel="0" collapsed="false">
      <c r="B18" s="16" t="str">
        <f aca="false">'Senaryo Analizi'!A14</f>
        <v>S10</v>
      </c>
      <c r="C18" s="15" t="str">
        <f aca="false">'Senaryo Analizi'!B14</f>
        <v>Direksiyon Titremesi</v>
      </c>
      <c r="D18" s="16" t="n">
        <f aca="false">'Senaryo Analizi'!D14</f>
        <v>0</v>
      </c>
      <c r="E18" s="16" t="n">
        <f aca="false">'Senaryo Analizi'!E14</f>
        <v>0</v>
      </c>
      <c r="F18" s="17" t="n">
        <f aca="false">'Senaryo Analizi'!H14</f>
        <v>0</v>
      </c>
      <c r="G18" s="16" t="n">
        <f aca="false">'Senaryo Analizi'!J14</f>
        <v>0</v>
      </c>
      <c r="H18" s="16" t="str">
        <f aca="false">'Senaryo Analizi'!L14</f>
        <v>🟢 Düşük</v>
      </c>
      <c r="J18" s="47"/>
      <c r="K18" s="47"/>
      <c r="L18" s="47"/>
      <c r="M18" s="47"/>
      <c r="N18" s="47"/>
    </row>
    <row r="19" customFormat="false" ht="15" hidden="false" customHeight="false" outlineLevel="0" collapsed="false">
      <c r="B19" s="21" t="str">
        <f aca="false">'Senaryo Analizi'!A15</f>
        <v>S11</v>
      </c>
      <c r="C19" s="20" t="str">
        <f aca="false">'Senaryo Analizi'!B15</f>
        <v>Yakıt Sarfiyatı Yüksek</v>
      </c>
      <c r="D19" s="21" t="n">
        <f aca="false">'Senaryo Analizi'!D15</f>
        <v>0</v>
      </c>
      <c r="E19" s="21" t="n">
        <f aca="false">'Senaryo Analizi'!E15</f>
        <v>0</v>
      </c>
      <c r="F19" s="22" t="n">
        <f aca="false">'Senaryo Analizi'!H15</f>
        <v>0</v>
      </c>
      <c r="G19" s="21" t="n">
        <f aca="false">'Senaryo Analizi'!J15</f>
        <v>0</v>
      </c>
      <c r="H19" s="21" t="str">
        <f aca="false">'Senaryo Analizi'!L15</f>
        <v>🟢 Düşük</v>
      </c>
      <c r="J19" s="47"/>
      <c r="K19" s="47"/>
      <c r="L19" s="47"/>
      <c r="M19" s="47"/>
      <c r="N19" s="47"/>
    </row>
    <row r="20" customFormat="false" ht="15" hidden="false" customHeight="false" outlineLevel="0" collapsed="false">
      <c r="B20" s="16" t="str">
        <f aca="false">'Senaryo Analizi'!A16</f>
        <v>S12</v>
      </c>
      <c r="C20" s="15" t="str">
        <f aca="false">'Senaryo Analizi'!B16</f>
        <v>Motor Sesi / Tıkırtı</v>
      </c>
      <c r="D20" s="16" t="n">
        <f aca="false">'Senaryo Analizi'!D16</f>
        <v>0</v>
      </c>
      <c r="E20" s="16" t="n">
        <f aca="false">'Senaryo Analizi'!E16</f>
        <v>0</v>
      </c>
      <c r="F20" s="17" t="n">
        <f aca="false">'Senaryo Analizi'!H16</f>
        <v>0</v>
      </c>
      <c r="G20" s="16" t="n">
        <f aca="false">'Senaryo Analizi'!J16</f>
        <v>0</v>
      </c>
      <c r="H20" s="16" t="str">
        <f aca="false">'Senaryo Analizi'!L16</f>
        <v>🟢 Düşük</v>
      </c>
      <c r="J20" s="47"/>
      <c r="K20" s="47"/>
      <c r="L20" s="47"/>
      <c r="M20" s="47"/>
      <c r="N20" s="47"/>
    </row>
    <row r="21" customFormat="false" ht="15" hidden="false" customHeight="false" outlineLevel="0" collapsed="false">
      <c r="B21" s="21" t="str">
        <f aca="false">'Senaryo Analizi'!A17</f>
        <v>S13</v>
      </c>
      <c r="C21" s="20" t="str">
        <f aca="false">'Senaryo Analizi'!B17</f>
        <v>ABS Uyarısı</v>
      </c>
      <c r="D21" s="21" t="n">
        <f aca="false">'Senaryo Analizi'!D17</f>
        <v>0</v>
      </c>
      <c r="E21" s="21" t="n">
        <f aca="false">'Senaryo Analizi'!E17</f>
        <v>0</v>
      </c>
      <c r="F21" s="22" t="n">
        <f aca="false">'Senaryo Analizi'!H17</f>
        <v>0</v>
      </c>
      <c r="G21" s="21" t="n">
        <f aca="false">'Senaryo Analizi'!J17</f>
        <v>0</v>
      </c>
      <c r="H21" s="21" t="str">
        <f aca="false">'Senaryo Analizi'!L17</f>
        <v>🟢 Düşük</v>
      </c>
      <c r="J21" s="47"/>
      <c r="K21" s="47"/>
      <c r="L21" s="47"/>
      <c r="M21" s="47"/>
      <c r="N21" s="47"/>
    </row>
    <row r="22" customFormat="false" ht="11.9" hidden="false" customHeight="false" outlineLevel="0" collapsed="false">
      <c r="B22" s="16" t="str">
        <f aca="false">'Senaryo Analizi'!A18</f>
        <v>S14</v>
      </c>
      <c r="C22" s="15" t="str">
        <f aca="false">'Senaryo Analizi'!B18</f>
        <v>Far Çalışmıyor</v>
      </c>
      <c r="D22" s="16" t="n">
        <f aca="false">'Senaryo Analizi'!D18</f>
        <v>0</v>
      </c>
      <c r="E22" s="16" t="n">
        <f aca="false">'Senaryo Analizi'!E18</f>
        <v>0</v>
      </c>
      <c r="F22" s="17" t="n">
        <f aca="false">'Senaryo Analizi'!H18</f>
        <v>0</v>
      </c>
      <c r="G22" s="16" t="n">
        <f aca="false">'Senaryo Analizi'!J18</f>
        <v>0</v>
      </c>
      <c r="H22" s="16" t="str">
        <f aca="false">'Senaryo Analizi'!L18</f>
        <v>🟢 Düşük</v>
      </c>
      <c r="J22" s="47"/>
      <c r="K22" s="47"/>
      <c r="L22" s="47"/>
      <c r="M22" s="47"/>
      <c r="N22" s="47"/>
    </row>
    <row r="23" customFormat="false" ht="15" hidden="false" customHeight="false" outlineLevel="0" collapsed="false">
      <c r="B23" s="21" t="str">
        <f aca="false">'Senaryo Analizi'!A19</f>
        <v>S15</v>
      </c>
      <c r="C23" s="20" t="str">
        <f aca="false">'Senaryo Analizi'!B19</f>
        <v>Starterde Tık Sesi</v>
      </c>
      <c r="D23" s="21" t="n">
        <f aca="false">'Senaryo Analizi'!D19</f>
        <v>0</v>
      </c>
      <c r="E23" s="21" t="n">
        <f aca="false">'Senaryo Analizi'!E19</f>
        <v>0</v>
      </c>
      <c r="F23" s="22" t="n">
        <f aca="false">'Senaryo Analizi'!H19</f>
        <v>0</v>
      </c>
      <c r="G23" s="21" t="n">
        <f aca="false">'Senaryo Analizi'!J19</f>
        <v>0</v>
      </c>
      <c r="H23" s="21" t="str">
        <f aca="false">'Senaryo Analizi'!L19</f>
        <v>🟢 Düşük</v>
      </c>
    </row>
  </sheetData>
  <mergeCells count="5">
    <mergeCell ref="A1:N1"/>
    <mergeCell ref="A2:N2"/>
    <mergeCell ref="B7:H7"/>
    <mergeCell ref="J7:N7"/>
    <mergeCell ref="J15:N22"/>
  </mergeCells>
  <conditionalFormatting sqref="F9:F23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2026-05-06T08:49:56Z</dcterms:created>
  <dc:creator>openpyxl</dc:creator>
  <dc:description/>
  <dc:language>en-US</dc:language>
  <cp:lastModifiedBy/>
  <dcterms:modified xsi:type="dcterms:W3CDTF">2026-05-06T08:49:57Z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