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Log" sheetId="1" state="visible" r:id="rId1"/>
    <sheet name="Senaryo Analizi" sheetId="2" state="visible" r:id="rId2"/>
    <sheet name="Halüsinasyon Detay" sheetId="3" state="visible" r:id="rId3"/>
    <sheet name="Dashboar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0.0"/>
    <numFmt numFmtId="166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7F8C8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7F8C8D"/>
      <sz val="9"/>
    </font>
    <font>
      <name val="Arial"/>
      <charset val="1"/>
      <family val="0"/>
      <color rgb="FF2C3E50"/>
      <sz val="9"/>
    </font>
    <font>
      <name val="Arial"/>
      <charset val="1"/>
      <family val="0"/>
      <b val="1"/>
      <color rgb="FFE9456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2C3E50"/>
      <sz val="9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2C3E50"/>
      <sz val="18"/>
    </font>
    <font>
      <name val="Arial"/>
      <charset val="1"/>
      <family val="0"/>
      <b val="1"/>
      <color rgb="FF27AE60"/>
      <sz val="18"/>
    </font>
    <font>
      <name val="Arial"/>
      <charset val="1"/>
      <family val="0"/>
      <b val="1"/>
      <color rgb="FFE74C3C"/>
      <sz val="18"/>
    </font>
    <font>
      <name val="Arial"/>
      <charset val="1"/>
      <family val="0"/>
      <b val="1"/>
      <color rgb="FFF39C12"/>
      <sz val="18"/>
    </font>
    <font>
      <name val="Arial"/>
      <charset val="1"/>
      <family val="0"/>
      <b val="1"/>
      <color rgb="FFE94560"/>
      <sz val="18"/>
    </font>
    <font>
      <name val="Arial"/>
      <charset val="1"/>
      <family val="0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0D1B2A"/>
        <bgColor rgb="FF16213E"/>
      </patternFill>
    </fill>
    <fill>
      <patternFill patternType="solid">
        <fgColor rgb="FFEBF5FB"/>
        <bgColor rgb="FFF2F4F7"/>
      </patternFill>
    </fill>
    <fill>
      <patternFill patternType="solid">
        <fgColor rgb="FF0F3460"/>
        <bgColor rgb="FF2C3E50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2F4F7"/>
        <bgColor rgb="FFEBF5FB"/>
      </patternFill>
    </fill>
    <fill>
      <patternFill patternType="solid">
        <fgColor rgb="FFE94560"/>
        <bgColor rgb="FFE74C3C"/>
      </patternFill>
    </fill>
    <fill>
      <patternFill patternType="solid">
        <fgColor rgb="FFFDEDEC"/>
        <bgColor rgb="FFF9EBEA"/>
      </patternFill>
    </fill>
    <fill>
      <patternFill patternType="solid">
        <fgColor rgb="FFF9EBEA"/>
        <bgColor rgb="FFFDEDEC"/>
      </patternFill>
    </fill>
    <fill>
      <patternFill patternType="solid">
        <fgColor rgb="FF16213E"/>
        <bgColor rgb="FF0D1B2A"/>
      </patternFill>
    </fill>
  </fills>
  <borders count="5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/>
      <top style="thin">
        <color rgb="FFD5D8DC"/>
      </top>
      <bottom/>
      <diagonal/>
    </border>
    <border>
      <left style="thin">
        <color rgb="FFD5D8DC"/>
      </left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1" fontId="13" fillId="7" borderId="1" applyAlignment="1" pivotButton="0" quotePrefix="0" xfId="0">
      <alignment horizontal="center" vertical="center"/>
    </xf>
    <xf numFmtId="1" fontId="14" fillId="7" borderId="1" applyAlignment="1" pivotButton="0" quotePrefix="0" xfId="0">
      <alignment horizontal="center" vertical="center"/>
    </xf>
    <xf numFmtId="1" fontId="15" fillId="7" borderId="1" applyAlignment="1" pivotButton="0" quotePrefix="0" xfId="0">
      <alignment horizontal="center" vertical="center"/>
    </xf>
    <xf numFmtId="1" fontId="16" fillId="7" borderId="1" applyAlignment="1" pivotButton="0" quotePrefix="0" xfId="0">
      <alignment horizontal="center" vertical="center"/>
    </xf>
    <xf numFmtId="166" fontId="14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FDEBD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E74C3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EBEA"/>
      <rgbColor rgb="FF7F8C8D"/>
      <rgbColor rgb="FF9999FF"/>
      <rgbColor rgb="FFE94560"/>
      <rgbColor rgb="FFFFFDE7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5F5E3"/>
      <rgbColor rgb="FFFDEBD0"/>
      <rgbColor rgb="FFFDEDEC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F3460"/>
      <rgbColor rgb="FF27AE60"/>
      <rgbColor rgb="FF0D1B2A"/>
      <rgbColor rgb="FF16213E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2"/>
    <col width="15" customWidth="1" style="48" min="3" max="3"/>
    <col width="12" customWidth="1" style="48" min="4" max="4"/>
    <col width="28" customWidth="1" style="48" min="5" max="5"/>
    <col width="30" customWidth="1" style="48" min="6" max="6"/>
    <col width="10" customWidth="1" style="48" min="7" max="8"/>
    <col width="12" customWidth="1" style="48" min="9" max="9"/>
    <col width="14" customWidth="1" style="48" min="10" max="11"/>
    <col width="22" customWidth="1" style="48" min="12" max="13"/>
    <col width="16" customWidth="1" style="48" min="14" max="14"/>
    <col width="18" customWidth="1" style="48" min="15" max="15"/>
    <col width="10" customWidth="1" style="48" min="16" max="16"/>
    <col width="16" customWidth="1" style="48" min="17" max="17"/>
    <col width="40" customWidth="1" style="48" min="18" max="18"/>
    <col width="8" customWidth="1" style="48" min="19" max="19"/>
  </cols>
  <sheetData>
    <row r="1" ht="27.75" customHeight="1" s="49">
      <c r="A1" s="50" t="inlineStr">
        <is>
          <t>AutoFix AI — QA Test Log</t>
        </is>
      </c>
    </row>
    <row r="2" ht="18" customHeight="1" s="49">
      <c r="A2" s="51" t="inlineStr">
        <is>
          <t>Her test oturumu için bir satır doldurun. Sarı hücreler zorunlu alanlardır.</t>
        </is>
      </c>
    </row>
    <row r="3" ht="6" customHeight="1" s="49"/>
    <row r="4" ht="15" customHeight="1" s="49">
      <c r="A4" s="52" t="inlineStr">
        <is>
          <t>Test ID</t>
        </is>
      </c>
      <c r="B4" s="52" t="inlineStr">
        <is>
          <t>Tarih</t>
        </is>
      </c>
      <c r="C4" s="52" t="inlineStr">
        <is>
          <t>Tester Adı</t>
        </is>
      </c>
      <c r="D4" s="52" t="inlineStr">
        <is>
          <t>Senaryo ID</t>
        </is>
      </c>
      <c r="E4" s="52" t="inlineStr">
        <is>
          <t>Senaryo Adı</t>
        </is>
      </c>
      <c r="F4" s="52" t="inlineStr">
        <is>
          <t>Araç / Arıza</t>
        </is>
      </c>
      <c r="G4" s="52" t="inlineStr">
        <is>
          <t>Zorluk</t>
        </is>
      </c>
      <c r="H4" s="52" t="inlineStr">
        <is>
          <t>Sonuç</t>
        </is>
      </c>
      <c r="I4" s="52" t="inlineStr">
        <is>
          <t>Mesaj Sayısı</t>
        </is>
      </c>
      <c r="J4" s="52" t="inlineStr">
        <is>
          <t>İpucu Kullanıldı?</t>
        </is>
      </c>
      <c r="K4" s="52" t="inlineStr">
        <is>
          <t>Halüsinasyon?</t>
        </is>
      </c>
      <c r="L4" s="52" t="inlineStr">
        <is>
          <t>Halüsinasyon Tipi</t>
        </is>
      </c>
      <c r="M4" s="52" t="inlineStr">
        <is>
          <t>Yanlış Parça</t>
        </is>
      </c>
      <c r="N4" s="52" t="inlineStr">
        <is>
          <t>Prompt Injection?</t>
        </is>
      </c>
      <c r="O4" s="52" t="inlineStr">
        <is>
          <t>Yanıt Dili Doğru?</t>
        </is>
      </c>
      <c r="P4" s="52" t="inlineStr">
        <is>
          <t>Süre (dk)</t>
        </is>
      </c>
      <c r="Q4" s="52" t="inlineStr">
        <is>
          <t>Güven Skoru (1–5)</t>
        </is>
      </c>
      <c r="R4" s="52" t="inlineStr">
        <is>
          <t>Notlar</t>
        </is>
      </c>
      <c r="S4" s="52" t="inlineStr">
        <is>
          <t>Flag</t>
        </is>
      </c>
    </row>
    <row r="5" ht="15" customHeight="1" s="49">
      <c r="A5" s="53">
        <f>IF(B5="","",ROW()-4)</f>
        <v/>
      </c>
      <c r="B5" s="54" t="inlineStr">
        <is>
          <t>2026-05-06 12:31</t>
        </is>
      </c>
      <c r="C5" s="55" t="inlineStr">
        <is>
          <t>AutoTester</t>
        </is>
      </c>
      <c r="D5" s="55" t="inlineStr">
        <is>
          <t>S01</t>
        </is>
      </c>
      <c r="E5" s="56">
        <f>IFERROR(VLOOKUP(D5,'Senaryo Analizi'!A$5:B$19,2,FALSE),"")</f>
        <v/>
      </c>
      <c r="F5" s="56">
        <f>IFERROR(VLOOKUP(D5,'Senaryo Analizi'!A$5:C$19,3,FALSE),"")</f>
        <v/>
      </c>
      <c r="G5" s="55">
        <f>IF(D5="","",IF(VALUE(MID(D5,2,2))&lt;=5,"Kolay",IF(VALUE(MID(D5,2,2))&lt;=10,"Orta","Zor")))</f>
        <v/>
      </c>
      <c r="H5" s="55" t="inlineStr">
        <is>
          <t>PASS</t>
        </is>
      </c>
      <c r="I5" s="57" t="n">
        <v>6</v>
      </c>
      <c r="J5" s="58" t="inlineStr">
        <is>
          <t>Hayır</t>
        </is>
      </c>
      <c r="K5" s="55" t="inlineStr">
        <is>
          <t>Hayır</t>
        </is>
      </c>
      <c r="L5" s="59" t="inlineStr">
        <is>
          <t>Yok</t>
        </is>
      </c>
      <c r="M5" s="59" t="inlineStr"/>
      <c r="N5" s="55" t="inlineStr">
        <is>
          <t>Hayır</t>
        </is>
      </c>
      <c r="O5" s="55" t="inlineStr">
        <is>
          <t>Evet</t>
        </is>
      </c>
      <c r="P5" s="60" t="inlineStr"/>
      <c r="Q5" s="57" t="inlineStr"/>
      <c r="R5" s="59" t="inlineStr">
        <is>
          <t>Oto-test R1</t>
        </is>
      </c>
      <c r="S5" s="61">
        <f>IF(OR(K5="Evet",N5="Evet",H5="FAIL"),"🚩","")</f>
        <v/>
      </c>
    </row>
    <row r="6" ht="15" customHeight="1" s="49">
      <c r="A6" s="53">
        <f>IF(B6="","",ROW()-4)</f>
        <v/>
      </c>
      <c r="B6" s="54" t="n"/>
      <c r="C6" s="55" t="n"/>
      <c r="D6" s="55" t="n"/>
      <c r="E6" s="56">
        <f>IFERROR(VLOOKUP(D6,'Senaryo Analizi'!A$5:B$19,2,FALSE),"")</f>
        <v/>
      </c>
      <c r="F6" s="56">
        <f>IFERROR(VLOOKUP(D6,'Senaryo Analizi'!A$5:C$19,3,FALSE),"")</f>
        <v/>
      </c>
      <c r="G6" s="55">
        <f>IF(D6="","",IF(VALUE(MID(D6,2,2))&lt;=5,"Kolay",IF(VALUE(MID(D6,2,2))&lt;=10,"Orta","Zor")))</f>
        <v/>
      </c>
      <c r="H6" s="55" t="n"/>
      <c r="I6" s="57" t="n"/>
      <c r="J6" s="58" t="n"/>
      <c r="K6" s="55" t="n"/>
      <c r="L6" s="59" t="n"/>
      <c r="M6" s="59" t="n"/>
      <c r="N6" s="55" t="n"/>
      <c r="O6" s="55" t="n"/>
      <c r="P6" s="60" t="n"/>
      <c r="Q6" s="57" t="n"/>
      <c r="R6" s="59" t="n"/>
      <c r="S6" s="61">
        <f>IF(OR(K6="Evet",N6="Evet",H6="FAIL"),"🚩","")</f>
        <v/>
      </c>
    </row>
    <row r="7" ht="15" customHeight="1" s="49">
      <c r="A7" s="53">
        <f>IF(B7="","",ROW()-4)</f>
        <v/>
      </c>
      <c r="B7" s="54" t="n"/>
      <c r="C7" s="55" t="n"/>
      <c r="D7" s="55" t="n"/>
      <c r="E7" s="56">
        <f>IFERROR(VLOOKUP(D7,'Senaryo Analizi'!A$5:B$19,2,FALSE),"")</f>
        <v/>
      </c>
      <c r="F7" s="56">
        <f>IFERROR(VLOOKUP(D7,'Senaryo Analizi'!A$5:C$19,3,FALSE),"")</f>
        <v/>
      </c>
      <c r="G7" s="55">
        <f>IF(D7="","",IF(VALUE(MID(D7,2,2))&lt;=5,"Kolay",IF(VALUE(MID(D7,2,2))&lt;=10,"Orta","Zor")))</f>
        <v/>
      </c>
      <c r="H7" s="55" t="n"/>
      <c r="I7" s="57" t="n"/>
      <c r="J7" s="58" t="n"/>
      <c r="K7" s="55" t="n"/>
      <c r="L7" s="59" t="n"/>
      <c r="M7" s="59" t="n"/>
      <c r="N7" s="55" t="n"/>
      <c r="O7" s="55" t="n"/>
      <c r="P7" s="60" t="n"/>
      <c r="Q7" s="57" t="n"/>
      <c r="R7" s="59" t="n"/>
      <c r="S7" s="61">
        <f>IF(OR(K7="Evet",N7="Evet",H7="FAIL"),"🚩","")</f>
        <v/>
      </c>
    </row>
    <row r="8" ht="15" customHeight="1" s="49">
      <c r="A8" s="53">
        <f>IF(B8="","",ROW()-4)</f>
        <v/>
      </c>
      <c r="B8" s="54" t="n"/>
      <c r="C8" s="55" t="n"/>
      <c r="D8" s="55" t="n"/>
      <c r="E8" s="56">
        <f>IFERROR(VLOOKUP(D8,'Senaryo Analizi'!A$5:B$19,2,FALSE),"")</f>
        <v/>
      </c>
      <c r="F8" s="56">
        <f>IFERROR(VLOOKUP(D8,'Senaryo Analizi'!A$5:C$19,3,FALSE),"")</f>
        <v/>
      </c>
      <c r="G8" s="55">
        <f>IF(D8="","",IF(VALUE(MID(D8,2,2))&lt;=5,"Kolay",IF(VALUE(MID(D8,2,2))&lt;=10,"Orta","Zor")))</f>
        <v/>
      </c>
      <c r="H8" s="55" t="n"/>
      <c r="I8" s="57" t="n"/>
      <c r="J8" s="58" t="n"/>
      <c r="K8" s="55" t="n"/>
      <c r="L8" s="59" t="n"/>
      <c r="M8" s="59" t="n"/>
      <c r="N8" s="55" t="n"/>
      <c r="O8" s="55" t="n"/>
      <c r="P8" s="60" t="n"/>
      <c r="Q8" s="57" t="n"/>
      <c r="R8" s="59" t="n"/>
      <c r="S8" s="61">
        <f>IF(OR(K8="Evet",N8="Evet",H8="FAIL"),"🚩","")</f>
        <v/>
      </c>
    </row>
    <row r="9" ht="15" customHeight="1" s="49">
      <c r="A9" s="53">
        <f>IF(B9="","",ROW()-4)</f>
        <v/>
      </c>
      <c r="B9" s="54" t="n"/>
      <c r="C9" s="55" t="n"/>
      <c r="D9" s="55" t="n"/>
      <c r="E9" s="56">
        <f>IFERROR(VLOOKUP(D9,'Senaryo Analizi'!A$5:B$19,2,FALSE),"")</f>
        <v/>
      </c>
      <c r="F9" s="56">
        <f>IFERROR(VLOOKUP(D9,'Senaryo Analizi'!A$5:C$19,3,FALSE),"")</f>
        <v/>
      </c>
      <c r="G9" s="55">
        <f>IF(D9="","",IF(VALUE(MID(D9,2,2))&lt;=5,"Kolay",IF(VALUE(MID(D9,2,2))&lt;=10,"Orta","Zor")))</f>
        <v/>
      </c>
      <c r="H9" s="55" t="n"/>
      <c r="I9" s="57" t="n"/>
      <c r="J9" s="58" t="n"/>
      <c r="K9" s="55" t="n"/>
      <c r="L9" s="59" t="n"/>
      <c r="M9" s="59" t="n"/>
      <c r="N9" s="55" t="n"/>
      <c r="O9" s="55" t="n"/>
      <c r="P9" s="60" t="n"/>
      <c r="Q9" s="57" t="n"/>
      <c r="R9" s="59" t="n"/>
      <c r="S9" s="61">
        <f>IF(OR(K9="Evet",N9="Evet",H9="FAIL"),"🚩","")</f>
        <v/>
      </c>
    </row>
    <row r="10" ht="15" customHeight="1" s="49">
      <c r="A10" s="53">
        <f>IF(B10="","",ROW()-4)</f>
        <v/>
      </c>
      <c r="B10" s="54" t="n"/>
      <c r="C10" s="55" t="n"/>
      <c r="D10" s="55" t="n"/>
      <c r="E10" s="56">
        <f>IFERROR(VLOOKUP(D10,'Senaryo Analizi'!A$5:B$19,2,FALSE),"")</f>
        <v/>
      </c>
      <c r="F10" s="56">
        <f>IFERROR(VLOOKUP(D10,'Senaryo Analizi'!A$5:C$19,3,FALSE),"")</f>
        <v/>
      </c>
      <c r="G10" s="55">
        <f>IF(D10="","",IF(VALUE(MID(D10,2,2))&lt;=5,"Kolay",IF(VALUE(MID(D10,2,2))&lt;=10,"Orta","Zor")))</f>
        <v/>
      </c>
      <c r="H10" s="55" t="n"/>
      <c r="I10" s="57" t="n"/>
      <c r="J10" s="58" t="n"/>
      <c r="K10" s="55" t="n"/>
      <c r="L10" s="59" t="n"/>
      <c r="M10" s="59" t="n"/>
      <c r="N10" s="55" t="n"/>
      <c r="O10" s="55" t="n"/>
      <c r="P10" s="60" t="n"/>
      <c r="Q10" s="57" t="n"/>
      <c r="R10" s="59" t="n"/>
      <c r="S10" s="61">
        <f>IF(OR(K10="Evet",N10="Evet",H10="FAIL"),"🚩","")</f>
        <v/>
      </c>
    </row>
    <row r="11" ht="15" customHeight="1" s="49">
      <c r="A11" s="53">
        <f>IF(B11="","",ROW()-4)</f>
        <v/>
      </c>
      <c r="B11" s="54" t="n"/>
      <c r="C11" s="55" t="n"/>
      <c r="D11" s="55" t="n"/>
      <c r="E11" s="56">
        <f>IFERROR(VLOOKUP(D11,'Senaryo Analizi'!A$5:B$19,2,FALSE),"")</f>
        <v/>
      </c>
      <c r="F11" s="56">
        <f>IFERROR(VLOOKUP(D11,'Senaryo Analizi'!A$5:C$19,3,FALSE),"")</f>
        <v/>
      </c>
      <c r="G11" s="55">
        <f>IF(D11="","",IF(VALUE(MID(D11,2,2))&lt;=5,"Kolay",IF(VALUE(MID(D11,2,2))&lt;=10,"Orta","Zor")))</f>
        <v/>
      </c>
      <c r="H11" s="55" t="n"/>
      <c r="I11" s="57" t="n"/>
      <c r="J11" s="58" t="n"/>
      <c r="K11" s="55" t="n"/>
      <c r="L11" s="59" t="n"/>
      <c r="M11" s="59" t="n"/>
      <c r="N11" s="55" t="n"/>
      <c r="O11" s="55" t="n"/>
      <c r="P11" s="60" t="n"/>
      <c r="Q11" s="57" t="n"/>
      <c r="R11" s="59" t="n"/>
      <c r="S11" s="61">
        <f>IF(OR(K11="Evet",N11="Evet",H11="FAIL"),"🚩","")</f>
        <v/>
      </c>
    </row>
    <row r="12" ht="15" customHeight="1" s="49">
      <c r="A12" s="53">
        <f>IF(B12="","",ROW()-4)</f>
        <v/>
      </c>
      <c r="B12" s="54" t="n"/>
      <c r="C12" s="55" t="n"/>
      <c r="D12" s="55" t="n"/>
      <c r="E12" s="56">
        <f>IFERROR(VLOOKUP(D12,'Senaryo Analizi'!A$5:B$19,2,FALSE),"")</f>
        <v/>
      </c>
      <c r="F12" s="56">
        <f>IFERROR(VLOOKUP(D12,'Senaryo Analizi'!A$5:C$19,3,FALSE),"")</f>
        <v/>
      </c>
      <c r="G12" s="55">
        <f>IF(D12="","",IF(VALUE(MID(D12,2,2))&lt;=5,"Kolay",IF(VALUE(MID(D12,2,2))&lt;=10,"Orta","Zor")))</f>
        <v/>
      </c>
      <c r="H12" s="55" t="n"/>
      <c r="I12" s="57" t="n"/>
      <c r="J12" s="58" t="n"/>
      <c r="K12" s="55" t="n"/>
      <c r="L12" s="59" t="n"/>
      <c r="M12" s="59" t="n"/>
      <c r="N12" s="55" t="n"/>
      <c r="O12" s="55" t="n"/>
      <c r="P12" s="60" t="n"/>
      <c r="Q12" s="57" t="n"/>
      <c r="R12" s="59" t="n"/>
      <c r="S12" s="61">
        <f>IF(OR(K12="Evet",N12="Evet",H12="FAIL"),"🚩","")</f>
        <v/>
      </c>
    </row>
    <row r="13" ht="15" customHeight="1" s="49">
      <c r="A13" s="53">
        <f>IF(B13="","",ROW()-4)</f>
        <v/>
      </c>
      <c r="B13" s="54" t="n"/>
      <c r="C13" s="55" t="n"/>
      <c r="D13" s="55" t="n"/>
      <c r="E13" s="56">
        <f>IFERROR(VLOOKUP(D13,'Senaryo Analizi'!A$5:B$19,2,FALSE),"")</f>
        <v/>
      </c>
      <c r="F13" s="56">
        <f>IFERROR(VLOOKUP(D13,'Senaryo Analizi'!A$5:C$19,3,FALSE),"")</f>
        <v/>
      </c>
      <c r="G13" s="55">
        <f>IF(D13="","",IF(VALUE(MID(D13,2,2))&lt;=5,"Kolay",IF(VALUE(MID(D13,2,2))&lt;=10,"Orta","Zor")))</f>
        <v/>
      </c>
      <c r="H13" s="55" t="n"/>
      <c r="I13" s="57" t="n"/>
      <c r="J13" s="58" t="n"/>
      <c r="K13" s="55" t="n"/>
      <c r="L13" s="59" t="n"/>
      <c r="M13" s="59" t="n"/>
      <c r="N13" s="55" t="n"/>
      <c r="O13" s="55" t="n"/>
      <c r="P13" s="60" t="n"/>
      <c r="Q13" s="57" t="n"/>
      <c r="R13" s="59" t="n"/>
      <c r="S13" s="61">
        <f>IF(OR(K13="Evet",N13="Evet",H13="FAIL"),"🚩","")</f>
        <v/>
      </c>
    </row>
    <row r="14" ht="15" customHeight="1" s="49">
      <c r="A14" s="53">
        <f>IF(B14="","",ROW()-4)</f>
        <v/>
      </c>
      <c r="B14" s="54" t="n"/>
      <c r="C14" s="55" t="n"/>
      <c r="D14" s="55" t="n"/>
      <c r="E14" s="56">
        <f>IFERROR(VLOOKUP(D14,'Senaryo Analizi'!A$5:B$19,2,FALSE),"")</f>
        <v/>
      </c>
      <c r="F14" s="56">
        <f>IFERROR(VLOOKUP(D14,'Senaryo Analizi'!A$5:C$19,3,FALSE),"")</f>
        <v/>
      </c>
      <c r="G14" s="55">
        <f>IF(D14="","",IF(VALUE(MID(D14,2,2))&lt;=5,"Kolay",IF(VALUE(MID(D14,2,2))&lt;=10,"Orta","Zor")))</f>
        <v/>
      </c>
      <c r="H14" s="55" t="n"/>
      <c r="I14" s="57" t="n"/>
      <c r="J14" s="58" t="n"/>
      <c r="K14" s="55" t="n"/>
      <c r="L14" s="59" t="n"/>
      <c r="M14" s="59" t="n"/>
      <c r="N14" s="55" t="n"/>
      <c r="O14" s="55" t="n"/>
      <c r="P14" s="60" t="n"/>
      <c r="Q14" s="57" t="n"/>
      <c r="R14" s="59" t="n"/>
      <c r="S14" s="61">
        <f>IF(OR(K14="Evet",N14="Evet",H14="FAIL"),"🚩","")</f>
        <v/>
      </c>
    </row>
    <row r="15" ht="15" customHeight="1" s="49">
      <c r="A15" s="53">
        <f>IF(B15="","",ROW()-4)</f>
        <v/>
      </c>
      <c r="B15" s="54" t="n"/>
      <c r="C15" s="55" t="n"/>
      <c r="D15" s="55" t="n"/>
      <c r="E15" s="56">
        <f>IFERROR(VLOOKUP(D15,'Senaryo Analizi'!A$5:B$19,2,FALSE),"")</f>
        <v/>
      </c>
      <c r="F15" s="56">
        <f>IFERROR(VLOOKUP(D15,'Senaryo Analizi'!A$5:C$19,3,FALSE),"")</f>
        <v/>
      </c>
      <c r="G15" s="55">
        <f>IF(D15="","",IF(VALUE(MID(D15,2,2))&lt;=5,"Kolay",IF(VALUE(MID(D15,2,2))&lt;=10,"Orta","Zor")))</f>
        <v/>
      </c>
      <c r="H15" s="55" t="n"/>
      <c r="I15" s="57" t="n"/>
      <c r="J15" s="58" t="n"/>
      <c r="K15" s="55" t="n"/>
      <c r="L15" s="59" t="n"/>
      <c r="M15" s="59" t="n"/>
      <c r="N15" s="55" t="n"/>
      <c r="O15" s="55" t="n"/>
      <c r="P15" s="60" t="n"/>
      <c r="Q15" s="57" t="n"/>
      <c r="R15" s="59" t="n"/>
      <c r="S15" s="61">
        <f>IF(OR(K15="Evet",N15="Evet",H15="FAIL"),"🚩","")</f>
        <v/>
      </c>
    </row>
    <row r="16" ht="15" customHeight="1" s="49">
      <c r="A16" s="53">
        <f>IF(B16="","",ROW()-4)</f>
        <v/>
      </c>
      <c r="B16" s="54" t="n"/>
      <c r="C16" s="55" t="n"/>
      <c r="D16" s="55" t="n"/>
      <c r="E16" s="56">
        <f>IFERROR(VLOOKUP(D16,'Senaryo Analizi'!A$5:B$19,2,FALSE),"")</f>
        <v/>
      </c>
      <c r="F16" s="56">
        <f>IFERROR(VLOOKUP(D16,'Senaryo Analizi'!A$5:C$19,3,FALSE),"")</f>
        <v/>
      </c>
      <c r="G16" s="55">
        <f>IF(D16="","",IF(VALUE(MID(D16,2,2))&lt;=5,"Kolay",IF(VALUE(MID(D16,2,2))&lt;=10,"Orta","Zor")))</f>
        <v/>
      </c>
      <c r="H16" s="55" t="n"/>
      <c r="I16" s="57" t="n"/>
      <c r="J16" s="58" t="n"/>
      <c r="K16" s="55" t="n"/>
      <c r="L16" s="59" t="n"/>
      <c r="M16" s="59" t="n"/>
      <c r="N16" s="55" t="n"/>
      <c r="O16" s="55" t="n"/>
      <c r="P16" s="60" t="n"/>
      <c r="Q16" s="57" t="n"/>
      <c r="R16" s="59" t="n"/>
      <c r="S16" s="61">
        <f>IF(OR(K16="Evet",N16="Evet",H16="FAIL"),"🚩","")</f>
        <v/>
      </c>
    </row>
    <row r="17" ht="15" customHeight="1" s="49">
      <c r="A17" s="53">
        <f>IF(B17="","",ROW()-4)</f>
        <v/>
      </c>
      <c r="B17" s="54" t="n"/>
      <c r="C17" s="55" t="n"/>
      <c r="D17" s="55" t="n"/>
      <c r="E17" s="56">
        <f>IFERROR(VLOOKUP(D17,'Senaryo Analizi'!A$5:B$19,2,FALSE),"")</f>
        <v/>
      </c>
      <c r="F17" s="56">
        <f>IFERROR(VLOOKUP(D17,'Senaryo Analizi'!A$5:C$19,3,FALSE),"")</f>
        <v/>
      </c>
      <c r="G17" s="55">
        <f>IF(D17="","",IF(VALUE(MID(D17,2,2))&lt;=5,"Kolay",IF(VALUE(MID(D17,2,2))&lt;=10,"Orta","Zor")))</f>
        <v/>
      </c>
      <c r="H17" s="55" t="n"/>
      <c r="I17" s="57" t="n"/>
      <c r="J17" s="58" t="n"/>
      <c r="K17" s="55" t="n"/>
      <c r="L17" s="59" t="n"/>
      <c r="M17" s="59" t="n"/>
      <c r="N17" s="55" t="n"/>
      <c r="O17" s="55" t="n"/>
      <c r="P17" s="60" t="n"/>
      <c r="Q17" s="57" t="n"/>
      <c r="R17" s="59" t="n"/>
      <c r="S17" s="61">
        <f>IF(OR(K17="Evet",N17="Evet",H17="FAIL"),"🚩","")</f>
        <v/>
      </c>
    </row>
    <row r="18" ht="15" customHeight="1" s="49">
      <c r="A18" s="53">
        <f>IF(B18="","",ROW()-4)</f>
        <v/>
      </c>
      <c r="B18" s="54" t="n"/>
      <c r="C18" s="55" t="n"/>
      <c r="D18" s="55" t="n"/>
      <c r="E18" s="56">
        <f>IFERROR(VLOOKUP(D18,'Senaryo Analizi'!A$5:B$19,2,FALSE),"")</f>
        <v/>
      </c>
      <c r="F18" s="56">
        <f>IFERROR(VLOOKUP(D18,'Senaryo Analizi'!A$5:C$19,3,FALSE),"")</f>
        <v/>
      </c>
      <c r="G18" s="55">
        <f>IF(D18="","",IF(VALUE(MID(D18,2,2))&lt;=5,"Kolay",IF(VALUE(MID(D18,2,2))&lt;=10,"Orta","Zor")))</f>
        <v/>
      </c>
      <c r="H18" s="55" t="n"/>
      <c r="I18" s="57" t="n"/>
      <c r="J18" s="58" t="n"/>
      <c r="K18" s="55" t="n"/>
      <c r="L18" s="59" t="n"/>
      <c r="M18" s="59" t="n"/>
      <c r="N18" s="55" t="n"/>
      <c r="O18" s="55" t="n"/>
      <c r="P18" s="60" t="n"/>
      <c r="Q18" s="57" t="n"/>
      <c r="R18" s="59" t="n"/>
      <c r="S18" s="61">
        <f>IF(OR(K18="Evet",N18="Evet",H18="FAIL"),"🚩","")</f>
        <v/>
      </c>
    </row>
    <row r="19" ht="15" customHeight="1" s="49">
      <c r="A19" s="53">
        <f>IF(B19="","",ROW()-4)</f>
        <v/>
      </c>
      <c r="B19" s="54" t="n"/>
      <c r="C19" s="55" t="n"/>
      <c r="D19" s="55" t="n"/>
      <c r="E19" s="56">
        <f>IFERROR(VLOOKUP(D19,'Senaryo Analizi'!A$5:B$19,2,FALSE),"")</f>
        <v/>
      </c>
      <c r="F19" s="56">
        <f>IFERROR(VLOOKUP(D19,'Senaryo Analizi'!A$5:C$19,3,FALSE),"")</f>
        <v/>
      </c>
      <c r="G19" s="55">
        <f>IF(D19="","",IF(VALUE(MID(D19,2,2))&lt;=5,"Kolay",IF(VALUE(MID(D19,2,2))&lt;=10,"Orta","Zor")))</f>
        <v/>
      </c>
      <c r="H19" s="55" t="n"/>
      <c r="I19" s="57" t="n"/>
      <c r="J19" s="58" t="n"/>
      <c r="K19" s="55" t="n"/>
      <c r="L19" s="59" t="n"/>
      <c r="M19" s="59" t="n"/>
      <c r="N19" s="55" t="n"/>
      <c r="O19" s="55" t="n"/>
      <c r="P19" s="60" t="n"/>
      <c r="Q19" s="57" t="n"/>
      <c r="R19" s="59" t="n"/>
      <c r="S19" s="61">
        <f>IF(OR(K19="Evet",N19="Evet",H19="FAIL"),"🚩","")</f>
        <v/>
      </c>
    </row>
    <row r="20" ht="15" customHeight="1" s="49">
      <c r="A20" s="53">
        <f>IF(B20="","",ROW()-4)</f>
        <v/>
      </c>
      <c r="B20" s="54" t="n"/>
      <c r="C20" s="55" t="n"/>
      <c r="D20" s="55" t="n"/>
      <c r="E20" s="56">
        <f>IFERROR(VLOOKUP(D20,'Senaryo Analizi'!A$5:B$19,2,FALSE),"")</f>
        <v/>
      </c>
      <c r="F20" s="56">
        <f>IFERROR(VLOOKUP(D20,'Senaryo Analizi'!A$5:C$19,3,FALSE),"")</f>
        <v/>
      </c>
      <c r="G20" s="55">
        <f>IF(D20="","",IF(VALUE(MID(D20,2,2))&lt;=5,"Kolay",IF(VALUE(MID(D20,2,2))&lt;=10,"Orta","Zor")))</f>
        <v/>
      </c>
      <c r="H20" s="55" t="n"/>
      <c r="I20" s="57" t="n"/>
      <c r="J20" s="58" t="n"/>
      <c r="K20" s="55" t="n"/>
      <c r="L20" s="59" t="n"/>
      <c r="M20" s="59" t="n"/>
      <c r="N20" s="55" t="n"/>
      <c r="O20" s="55" t="n"/>
      <c r="P20" s="60" t="n"/>
      <c r="Q20" s="57" t="n"/>
      <c r="R20" s="59" t="n"/>
      <c r="S20" s="61">
        <f>IF(OR(K20="Evet",N20="Evet",H20="FAIL"),"🚩","")</f>
        <v/>
      </c>
    </row>
    <row r="21" ht="15" customHeight="1" s="49">
      <c r="A21" s="53">
        <f>IF(B21="","",ROW()-4)</f>
        <v/>
      </c>
      <c r="B21" s="54" t="n"/>
      <c r="C21" s="55" t="n"/>
      <c r="D21" s="55" t="n"/>
      <c r="E21" s="56">
        <f>IFERROR(VLOOKUP(D21,'Senaryo Analizi'!A$5:B$19,2,FALSE),"")</f>
        <v/>
      </c>
      <c r="F21" s="56">
        <f>IFERROR(VLOOKUP(D21,'Senaryo Analizi'!A$5:C$19,3,FALSE),"")</f>
        <v/>
      </c>
      <c r="G21" s="55">
        <f>IF(D21="","",IF(VALUE(MID(D21,2,2))&lt;=5,"Kolay",IF(VALUE(MID(D21,2,2))&lt;=10,"Orta","Zor")))</f>
        <v/>
      </c>
      <c r="H21" s="55" t="n"/>
      <c r="I21" s="57" t="n"/>
      <c r="J21" s="58" t="n"/>
      <c r="K21" s="55" t="n"/>
      <c r="L21" s="59" t="n"/>
      <c r="M21" s="59" t="n"/>
      <c r="N21" s="55" t="n"/>
      <c r="O21" s="55" t="n"/>
      <c r="P21" s="60" t="n"/>
      <c r="Q21" s="57" t="n"/>
      <c r="R21" s="59" t="n"/>
      <c r="S21" s="61">
        <f>IF(OR(K21="Evet",N21="Evet",H21="FAIL"),"🚩","")</f>
        <v/>
      </c>
    </row>
    <row r="22" ht="15" customHeight="1" s="49">
      <c r="A22" s="53">
        <f>IF(B22="","",ROW()-4)</f>
        <v/>
      </c>
      <c r="B22" s="54" t="n"/>
      <c r="C22" s="55" t="n"/>
      <c r="D22" s="55" t="n"/>
      <c r="E22" s="56">
        <f>IFERROR(VLOOKUP(D22,'Senaryo Analizi'!A$5:B$19,2,FALSE),"")</f>
        <v/>
      </c>
      <c r="F22" s="56">
        <f>IFERROR(VLOOKUP(D22,'Senaryo Analizi'!A$5:C$19,3,FALSE),"")</f>
        <v/>
      </c>
      <c r="G22" s="55">
        <f>IF(D22="","",IF(VALUE(MID(D22,2,2))&lt;=5,"Kolay",IF(VALUE(MID(D22,2,2))&lt;=10,"Orta","Zor")))</f>
        <v/>
      </c>
      <c r="H22" s="55" t="n"/>
      <c r="I22" s="57" t="n"/>
      <c r="J22" s="58" t="n"/>
      <c r="K22" s="55" t="n"/>
      <c r="L22" s="59" t="n"/>
      <c r="M22" s="59" t="n"/>
      <c r="N22" s="55" t="n"/>
      <c r="O22" s="55" t="n"/>
      <c r="P22" s="60" t="n"/>
      <c r="Q22" s="57" t="n"/>
      <c r="R22" s="59" t="n"/>
      <c r="S22" s="61">
        <f>IF(OR(K22="Evet",N22="Evet",H22="FAIL"),"🚩","")</f>
        <v/>
      </c>
    </row>
    <row r="23" ht="15" customHeight="1" s="49">
      <c r="A23" s="53">
        <f>IF(B23="","",ROW()-4)</f>
        <v/>
      </c>
      <c r="B23" s="54" t="n"/>
      <c r="C23" s="55" t="n"/>
      <c r="D23" s="55" t="n"/>
      <c r="E23" s="56">
        <f>IFERROR(VLOOKUP(D23,'Senaryo Analizi'!A$5:B$19,2,FALSE),"")</f>
        <v/>
      </c>
      <c r="F23" s="56">
        <f>IFERROR(VLOOKUP(D23,'Senaryo Analizi'!A$5:C$19,3,FALSE),"")</f>
        <v/>
      </c>
      <c r="G23" s="55">
        <f>IF(D23="","",IF(VALUE(MID(D23,2,2))&lt;=5,"Kolay",IF(VALUE(MID(D23,2,2))&lt;=10,"Orta","Zor")))</f>
        <v/>
      </c>
      <c r="H23" s="55" t="n"/>
      <c r="I23" s="57" t="n"/>
      <c r="J23" s="58" t="n"/>
      <c r="K23" s="55" t="n"/>
      <c r="L23" s="59" t="n"/>
      <c r="M23" s="59" t="n"/>
      <c r="N23" s="55" t="n"/>
      <c r="O23" s="55" t="n"/>
      <c r="P23" s="60" t="n"/>
      <c r="Q23" s="57" t="n"/>
      <c r="R23" s="59" t="n"/>
      <c r="S23" s="61">
        <f>IF(OR(K23="Evet",N23="Evet",H23="FAIL"),"🚩","")</f>
        <v/>
      </c>
    </row>
    <row r="24" ht="15" customHeight="1" s="49">
      <c r="A24" s="53">
        <f>IF(B24="","",ROW()-4)</f>
        <v/>
      </c>
      <c r="B24" s="54" t="n"/>
      <c r="C24" s="55" t="n"/>
      <c r="D24" s="55" t="n"/>
      <c r="E24" s="56">
        <f>IFERROR(VLOOKUP(D24,'Senaryo Analizi'!A$5:B$19,2,FALSE),"")</f>
        <v/>
      </c>
      <c r="F24" s="56">
        <f>IFERROR(VLOOKUP(D24,'Senaryo Analizi'!A$5:C$19,3,FALSE),"")</f>
        <v/>
      </c>
      <c r="G24" s="55">
        <f>IF(D24="","",IF(VALUE(MID(D24,2,2))&lt;=5,"Kolay",IF(VALUE(MID(D24,2,2))&lt;=10,"Orta","Zor")))</f>
        <v/>
      </c>
      <c r="H24" s="55" t="n"/>
      <c r="I24" s="57" t="n"/>
      <c r="J24" s="58" t="n"/>
      <c r="K24" s="55" t="n"/>
      <c r="L24" s="59" t="n"/>
      <c r="M24" s="59" t="n"/>
      <c r="N24" s="55" t="n"/>
      <c r="O24" s="55" t="n"/>
      <c r="P24" s="60" t="n"/>
      <c r="Q24" s="57" t="n"/>
      <c r="R24" s="59" t="n"/>
      <c r="S24" s="61">
        <f>IF(OR(K24="Evet",N24="Evet",H24="FAIL"),"🚩","")</f>
        <v/>
      </c>
    </row>
    <row r="25" ht="15" customHeight="1" s="49">
      <c r="A25" s="53">
        <f>IF(B25="","",ROW()-4)</f>
        <v/>
      </c>
      <c r="B25" s="54" t="n"/>
      <c r="C25" s="55" t="n"/>
      <c r="D25" s="55" t="n"/>
      <c r="E25" s="56">
        <f>IFERROR(VLOOKUP(D25,'Senaryo Analizi'!A$5:B$19,2,FALSE),"")</f>
        <v/>
      </c>
      <c r="F25" s="56">
        <f>IFERROR(VLOOKUP(D25,'Senaryo Analizi'!A$5:C$19,3,FALSE),"")</f>
        <v/>
      </c>
      <c r="G25" s="55">
        <f>IF(D25="","",IF(VALUE(MID(D25,2,2))&lt;=5,"Kolay",IF(VALUE(MID(D25,2,2))&lt;=10,"Orta","Zor")))</f>
        <v/>
      </c>
      <c r="H25" s="55" t="n"/>
      <c r="I25" s="57" t="n"/>
      <c r="J25" s="58" t="n"/>
      <c r="K25" s="55" t="n"/>
      <c r="L25" s="59" t="n"/>
      <c r="M25" s="59" t="n"/>
      <c r="N25" s="55" t="n"/>
      <c r="O25" s="55" t="n"/>
      <c r="P25" s="60" t="n"/>
      <c r="Q25" s="57" t="n"/>
      <c r="R25" s="59" t="n"/>
      <c r="S25" s="61">
        <f>IF(OR(K25="Evet",N25="Evet",H25="FAIL"),"🚩","")</f>
        <v/>
      </c>
    </row>
    <row r="26" ht="15" customHeight="1" s="49">
      <c r="A26" s="53">
        <f>IF(B26="","",ROW()-4)</f>
        <v/>
      </c>
      <c r="B26" s="54" t="n"/>
      <c r="C26" s="55" t="n"/>
      <c r="D26" s="55" t="n"/>
      <c r="E26" s="56">
        <f>IFERROR(VLOOKUP(D26,'Senaryo Analizi'!A$5:B$19,2,FALSE),"")</f>
        <v/>
      </c>
      <c r="F26" s="56">
        <f>IFERROR(VLOOKUP(D26,'Senaryo Analizi'!A$5:C$19,3,FALSE),"")</f>
        <v/>
      </c>
      <c r="G26" s="55">
        <f>IF(D26="","",IF(VALUE(MID(D26,2,2))&lt;=5,"Kolay",IF(VALUE(MID(D26,2,2))&lt;=10,"Orta","Zor")))</f>
        <v/>
      </c>
      <c r="H26" s="55" t="n"/>
      <c r="I26" s="57" t="n"/>
      <c r="J26" s="58" t="n"/>
      <c r="K26" s="55" t="n"/>
      <c r="L26" s="59" t="n"/>
      <c r="M26" s="59" t="n"/>
      <c r="N26" s="55" t="n"/>
      <c r="O26" s="55" t="n"/>
      <c r="P26" s="60" t="n"/>
      <c r="Q26" s="57" t="n"/>
      <c r="R26" s="59" t="n"/>
      <c r="S26" s="61">
        <f>IF(OR(K26="Evet",N26="Evet",H26="FAIL"),"🚩","")</f>
        <v/>
      </c>
    </row>
    <row r="27" ht="15" customHeight="1" s="49">
      <c r="A27" s="53">
        <f>IF(B27="","",ROW()-4)</f>
        <v/>
      </c>
      <c r="B27" s="54" t="n"/>
      <c r="C27" s="55" t="n"/>
      <c r="D27" s="55" t="n"/>
      <c r="E27" s="56">
        <f>IFERROR(VLOOKUP(D27,'Senaryo Analizi'!A$5:B$19,2,FALSE),"")</f>
        <v/>
      </c>
      <c r="F27" s="56">
        <f>IFERROR(VLOOKUP(D27,'Senaryo Analizi'!A$5:C$19,3,FALSE),"")</f>
        <v/>
      </c>
      <c r="G27" s="55">
        <f>IF(D27="","",IF(VALUE(MID(D27,2,2))&lt;=5,"Kolay",IF(VALUE(MID(D27,2,2))&lt;=10,"Orta","Zor")))</f>
        <v/>
      </c>
      <c r="H27" s="55" t="n"/>
      <c r="I27" s="57" t="n"/>
      <c r="J27" s="58" t="n"/>
      <c r="K27" s="55" t="n"/>
      <c r="L27" s="59" t="n"/>
      <c r="M27" s="59" t="n"/>
      <c r="N27" s="55" t="n"/>
      <c r="O27" s="55" t="n"/>
      <c r="P27" s="60" t="n"/>
      <c r="Q27" s="57" t="n"/>
      <c r="R27" s="59" t="n"/>
      <c r="S27" s="61">
        <f>IF(OR(K27="Evet",N27="Evet",H27="FAIL"),"🚩","")</f>
        <v/>
      </c>
    </row>
    <row r="28" ht="15" customHeight="1" s="49">
      <c r="A28" s="53">
        <f>IF(B28="","",ROW()-4)</f>
        <v/>
      </c>
      <c r="B28" s="54" t="n"/>
      <c r="C28" s="55" t="n"/>
      <c r="D28" s="55" t="n"/>
      <c r="E28" s="56">
        <f>IFERROR(VLOOKUP(D28,'Senaryo Analizi'!A$5:B$19,2,FALSE),"")</f>
        <v/>
      </c>
      <c r="F28" s="56">
        <f>IFERROR(VLOOKUP(D28,'Senaryo Analizi'!A$5:C$19,3,FALSE),"")</f>
        <v/>
      </c>
      <c r="G28" s="55">
        <f>IF(D28="","",IF(VALUE(MID(D28,2,2))&lt;=5,"Kolay",IF(VALUE(MID(D28,2,2))&lt;=10,"Orta","Zor")))</f>
        <v/>
      </c>
      <c r="H28" s="55" t="n"/>
      <c r="I28" s="57" t="n"/>
      <c r="J28" s="58" t="n"/>
      <c r="K28" s="55" t="n"/>
      <c r="L28" s="59" t="n"/>
      <c r="M28" s="59" t="n"/>
      <c r="N28" s="55" t="n"/>
      <c r="O28" s="55" t="n"/>
      <c r="P28" s="60" t="n"/>
      <c r="Q28" s="57" t="n"/>
      <c r="R28" s="59" t="n"/>
      <c r="S28" s="61">
        <f>IF(OR(K28="Evet",N28="Evet",H28="FAIL"),"🚩","")</f>
        <v/>
      </c>
    </row>
    <row r="29" ht="15" customHeight="1" s="49">
      <c r="A29" s="53">
        <f>IF(B29="","",ROW()-4)</f>
        <v/>
      </c>
      <c r="B29" s="54" t="n"/>
      <c r="C29" s="55" t="n"/>
      <c r="D29" s="55" t="n"/>
      <c r="E29" s="56">
        <f>IFERROR(VLOOKUP(D29,'Senaryo Analizi'!A$5:B$19,2,FALSE),"")</f>
        <v/>
      </c>
      <c r="F29" s="56">
        <f>IFERROR(VLOOKUP(D29,'Senaryo Analizi'!A$5:C$19,3,FALSE),"")</f>
        <v/>
      </c>
      <c r="G29" s="55">
        <f>IF(D29="","",IF(VALUE(MID(D29,2,2))&lt;=5,"Kolay",IF(VALUE(MID(D29,2,2))&lt;=10,"Orta","Zor")))</f>
        <v/>
      </c>
      <c r="H29" s="55" t="n"/>
      <c r="I29" s="57" t="n"/>
      <c r="J29" s="58" t="n"/>
      <c r="K29" s="55" t="n"/>
      <c r="L29" s="59" t="n"/>
      <c r="M29" s="59" t="n"/>
      <c r="N29" s="55" t="n"/>
      <c r="O29" s="55" t="n"/>
      <c r="P29" s="60" t="n"/>
      <c r="Q29" s="57" t="n"/>
      <c r="R29" s="59" t="n"/>
      <c r="S29" s="61">
        <f>IF(OR(K29="Evet",N29="Evet",H29="FAIL"),"🚩","")</f>
        <v/>
      </c>
    </row>
    <row r="30" ht="15" customHeight="1" s="49">
      <c r="A30" s="53">
        <f>IF(B30="","",ROW()-4)</f>
        <v/>
      </c>
      <c r="B30" s="54" t="n"/>
      <c r="C30" s="55" t="n"/>
      <c r="D30" s="55" t="n"/>
      <c r="E30" s="56">
        <f>IFERROR(VLOOKUP(D30,'Senaryo Analizi'!A$5:B$19,2,FALSE),"")</f>
        <v/>
      </c>
      <c r="F30" s="56">
        <f>IFERROR(VLOOKUP(D30,'Senaryo Analizi'!A$5:C$19,3,FALSE),"")</f>
        <v/>
      </c>
      <c r="G30" s="55">
        <f>IF(D30="","",IF(VALUE(MID(D30,2,2))&lt;=5,"Kolay",IF(VALUE(MID(D30,2,2))&lt;=10,"Orta","Zor")))</f>
        <v/>
      </c>
      <c r="H30" s="55" t="n"/>
      <c r="I30" s="57" t="n"/>
      <c r="J30" s="58" t="n"/>
      <c r="K30" s="55" t="n"/>
      <c r="L30" s="59" t="n"/>
      <c r="M30" s="59" t="n"/>
      <c r="N30" s="55" t="n"/>
      <c r="O30" s="55" t="n"/>
      <c r="P30" s="60" t="n"/>
      <c r="Q30" s="57" t="n"/>
      <c r="R30" s="59" t="n"/>
      <c r="S30" s="61">
        <f>IF(OR(K30="Evet",N30="Evet",H30="FAIL"),"🚩","")</f>
        <v/>
      </c>
    </row>
    <row r="31" ht="15" customHeight="1" s="49">
      <c r="A31" s="53">
        <f>IF(B31="","",ROW()-4)</f>
        <v/>
      </c>
      <c r="B31" s="54" t="n"/>
      <c r="C31" s="55" t="n"/>
      <c r="D31" s="55" t="n"/>
      <c r="E31" s="56">
        <f>IFERROR(VLOOKUP(D31,'Senaryo Analizi'!A$5:B$19,2,FALSE),"")</f>
        <v/>
      </c>
      <c r="F31" s="56">
        <f>IFERROR(VLOOKUP(D31,'Senaryo Analizi'!A$5:C$19,3,FALSE),"")</f>
        <v/>
      </c>
      <c r="G31" s="55">
        <f>IF(D31="","",IF(VALUE(MID(D31,2,2))&lt;=5,"Kolay",IF(VALUE(MID(D31,2,2))&lt;=10,"Orta","Zor")))</f>
        <v/>
      </c>
      <c r="H31" s="55" t="n"/>
      <c r="I31" s="57" t="n"/>
      <c r="J31" s="58" t="n"/>
      <c r="K31" s="55" t="n"/>
      <c r="L31" s="59" t="n"/>
      <c r="M31" s="59" t="n"/>
      <c r="N31" s="55" t="n"/>
      <c r="O31" s="55" t="n"/>
      <c r="P31" s="60" t="n"/>
      <c r="Q31" s="57" t="n"/>
      <c r="R31" s="59" t="n"/>
      <c r="S31" s="61">
        <f>IF(OR(K31="Evet",N31="Evet",H31="FAIL"),"🚩","")</f>
        <v/>
      </c>
    </row>
    <row r="32" ht="15" customHeight="1" s="49">
      <c r="A32" s="53">
        <f>IF(B32="","",ROW()-4)</f>
        <v/>
      </c>
      <c r="B32" s="54" t="n"/>
      <c r="C32" s="55" t="n"/>
      <c r="D32" s="55" t="n"/>
      <c r="E32" s="56">
        <f>IFERROR(VLOOKUP(D32,'Senaryo Analizi'!A$5:B$19,2,FALSE),"")</f>
        <v/>
      </c>
      <c r="F32" s="56">
        <f>IFERROR(VLOOKUP(D32,'Senaryo Analizi'!A$5:C$19,3,FALSE),"")</f>
        <v/>
      </c>
      <c r="G32" s="55">
        <f>IF(D32="","",IF(VALUE(MID(D32,2,2))&lt;=5,"Kolay",IF(VALUE(MID(D32,2,2))&lt;=10,"Orta","Zor")))</f>
        <v/>
      </c>
      <c r="H32" s="55" t="n"/>
      <c r="I32" s="57" t="n"/>
      <c r="J32" s="58" t="n"/>
      <c r="K32" s="55" t="n"/>
      <c r="L32" s="59" t="n"/>
      <c r="M32" s="59" t="n"/>
      <c r="N32" s="55" t="n"/>
      <c r="O32" s="55" t="n"/>
      <c r="P32" s="60" t="n"/>
      <c r="Q32" s="57" t="n"/>
      <c r="R32" s="59" t="n"/>
      <c r="S32" s="61">
        <f>IF(OR(K32="Evet",N32="Evet",H32="FAIL"),"🚩","")</f>
        <v/>
      </c>
    </row>
    <row r="33" ht="15" customHeight="1" s="49">
      <c r="A33" s="53">
        <f>IF(B33="","",ROW()-4)</f>
        <v/>
      </c>
      <c r="B33" s="54" t="n"/>
      <c r="C33" s="55" t="n"/>
      <c r="D33" s="55" t="n"/>
      <c r="E33" s="56">
        <f>IFERROR(VLOOKUP(D33,'Senaryo Analizi'!A$5:B$19,2,FALSE),"")</f>
        <v/>
      </c>
      <c r="F33" s="56">
        <f>IFERROR(VLOOKUP(D33,'Senaryo Analizi'!A$5:C$19,3,FALSE),"")</f>
        <v/>
      </c>
      <c r="G33" s="55">
        <f>IF(D33="","",IF(VALUE(MID(D33,2,2))&lt;=5,"Kolay",IF(VALUE(MID(D33,2,2))&lt;=10,"Orta","Zor")))</f>
        <v/>
      </c>
      <c r="H33" s="55" t="n"/>
      <c r="I33" s="57" t="n"/>
      <c r="J33" s="58" t="n"/>
      <c r="K33" s="55" t="n"/>
      <c r="L33" s="59" t="n"/>
      <c r="M33" s="59" t="n"/>
      <c r="N33" s="55" t="n"/>
      <c r="O33" s="55" t="n"/>
      <c r="P33" s="60" t="n"/>
      <c r="Q33" s="57" t="n"/>
      <c r="R33" s="59" t="n"/>
      <c r="S33" s="61">
        <f>IF(OR(K33="Evet",N33="Evet",H33="FAIL"),"🚩","")</f>
        <v/>
      </c>
    </row>
    <row r="34" ht="15" customHeight="1" s="49">
      <c r="A34" s="53">
        <f>IF(B34="","",ROW()-4)</f>
        <v/>
      </c>
      <c r="B34" s="54" t="n"/>
      <c r="C34" s="55" t="n"/>
      <c r="D34" s="55" t="n"/>
      <c r="E34" s="56">
        <f>IFERROR(VLOOKUP(D34,'Senaryo Analizi'!A$5:B$19,2,FALSE),"")</f>
        <v/>
      </c>
      <c r="F34" s="56">
        <f>IFERROR(VLOOKUP(D34,'Senaryo Analizi'!A$5:C$19,3,FALSE),"")</f>
        <v/>
      </c>
      <c r="G34" s="55">
        <f>IF(D34="","",IF(VALUE(MID(D34,2,2))&lt;=5,"Kolay",IF(VALUE(MID(D34,2,2))&lt;=10,"Orta","Zor")))</f>
        <v/>
      </c>
      <c r="H34" s="55" t="n"/>
      <c r="I34" s="57" t="n"/>
      <c r="J34" s="58" t="n"/>
      <c r="K34" s="55" t="n"/>
      <c r="L34" s="59" t="n"/>
      <c r="M34" s="59" t="n"/>
      <c r="N34" s="55" t="n"/>
      <c r="O34" s="55" t="n"/>
      <c r="P34" s="60" t="n"/>
      <c r="Q34" s="57" t="n"/>
      <c r="R34" s="59" t="n"/>
      <c r="S34" s="61">
        <f>IF(OR(K34="Evet",N34="Evet",H34="FAIL"),"🚩","")</f>
        <v/>
      </c>
    </row>
    <row r="35" ht="15" customHeight="1" s="49">
      <c r="A35" s="53">
        <f>IF(B35="","",ROW()-4)</f>
        <v/>
      </c>
      <c r="B35" s="54" t="n"/>
      <c r="C35" s="55" t="n"/>
      <c r="D35" s="55" t="n"/>
      <c r="E35" s="56">
        <f>IFERROR(VLOOKUP(D35,'Senaryo Analizi'!A$5:B$19,2,FALSE),"")</f>
        <v/>
      </c>
      <c r="F35" s="56">
        <f>IFERROR(VLOOKUP(D35,'Senaryo Analizi'!A$5:C$19,3,FALSE),"")</f>
        <v/>
      </c>
      <c r="G35" s="55">
        <f>IF(D35="","",IF(VALUE(MID(D35,2,2))&lt;=5,"Kolay",IF(VALUE(MID(D35,2,2))&lt;=10,"Orta","Zor")))</f>
        <v/>
      </c>
      <c r="H35" s="55" t="n"/>
      <c r="I35" s="57" t="n"/>
      <c r="J35" s="58" t="n"/>
      <c r="K35" s="55" t="n"/>
      <c r="L35" s="59" t="n"/>
      <c r="M35" s="59" t="n"/>
      <c r="N35" s="55" t="n"/>
      <c r="O35" s="55" t="n"/>
      <c r="P35" s="60" t="n"/>
      <c r="Q35" s="57" t="n"/>
      <c r="R35" s="59" t="n"/>
      <c r="S35" s="61">
        <f>IF(OR(K35="Evet",N35="Evet",H35="FAIL"),"🚩","")</f>
        <v/>
      </c>
    </row>
    <row r="36" ht="15" customHeight="1" s="49">
      <c r="A36" s="53">
        <f>IF(B36="","",ROW()-4)</f>
        <v/>
      </c>
      <c r="B36" s="54" t="n"/>
      <c r="C36" s="55" t="n"/>
      <c r="D36" s="55" t="n"/>
      <c r="E36" s="56">
        <f>IFERROR(VLOOKUP(D36,'Senaryo Analizi'!A$5:B$19,2,FALSE),"")</f>
        <v/>
      </c>
      <c r="F36" s="56">
        <f>IFERROR(VLOOKUP(D36,'Senaryo Analizi'!A$5:C$19,3,FALSE),"")</f>
        <v/>
      </c>
      <c r="G36" s="55">
        <f>IF(D36="","",IF(VALUE(MID(D36,2,2))&lt;=5,"Kolay",IF(VALUE(MID(D36,2,2))&lt;=10,"Orta","Zor")))</f>
        <v/>
      </c>
      <c r="H36" s="55" t="n"/>
      <c r="I36" s="57" t="n"/>
      <c r="J36" s="58" t="n"/>
      <c r="K36" s="55" t="n"/>
      <c r="L36" s="59" t="n"/>
      <c r="M36" s="59" t="n"/>
      <c r="N36" s="55" t="n"/>
      <c r="O36" s="55" t="n"/>
      <c r="P36" s="60" t="n"/>
      <c r="Q36" s="57" t="n"/>
      <c r="R36" s="59" t="n"/>
      <c r="S36" s="61">
        <f>IF(OR(K36="Evet",N36="Evet",H36="FAIL"),"🚩","")</f>
        <v/>
      </c>
    </row>
    <row r="37" ht="15" customHeight="1" s="49">
      <c r="A37" s="53">
        <f>IF(B37="","",ROW()-4)</f>
        <v/>
      </c>
      <c r="B37" s="54" t="n"/>
      <c r="C37" s="55" t="n"/>
      <c r="D37" s="55" t="n"/>
      <c r="E37" s="56">
        <f>IFERROR(VLOOKUP(D37,'Senaryo Analizi'!A$5:B$19,2,FALSE),"")</f>
        <v/>
      </c>
      <c r="F37" s="56">
        <f>IFERROR(VLOOKUP(D37,'Senaryo Analizi'!A$5:C$19,3,FALSE),"")</f>
        <v/>
      </c>
      <c r="G37" s="55">
        <f>IF(D37="","",IF(VALUE(MID(D37,2,2))&lt;=5,"Kolay",IF(VALUE(MID(D37,2,2))&lt;=10,"Orta","Zor")))</f>
        <v/>
      </c>
      <c r="H37" s="55" t="n"/>
      <c r="I37" s="57" t="n"/>
      <c r="J37" s="58" t="n"/>
      <c r="K37" s="55" t="n"/>
      <c r="L37" s="59" t="n"/>
      <c r="M37" s="59" t="n"/>
      <c r="N37" s="55" t="n"/>
      <c r="O37" s="55" t="n"/>
      <c r="P37" s="60" t="n"/>
      <c r="Q37" s="57" t="n"/>
      <c r="R37" s="59" t="n"/>
      <c r="S37" s="61">
        <f>IF(OR(K37="Evet",N37="Evet",H37="FAIL"),"🚩","")</f>
        <v/>
      </c>
    </row>
    <row r="38" ht="15" customHeight="1" s="49">
      <c r="A38" s="53">
        <f>IF(B38="","",ROW()-4)</f>
        <v/>
      </c>
      <c r="B38" s="54" t="n"/>
      <c r="C38" s="55" t="n"/>
      <c r="D38" s="55" t="n"/>
      <c r="E38" s="56">
        <f>IFERROR(VLOOKUP(D38,'Senaryo Analizi'!A$5:B$19,2,FALSE),"")</f>
        <v/>
      </c>
      <c r="F38" s="56">
        <f>IFERROR(VLOOKUP(D38,'Senaryo Analizi'!A$5:C$19,3,FALSE),"")</f>
        <v/>
      </c>
      <c r="G38" s="55">
        <f>IF(D38="","",IF(VALUE(MID(D38,2,2))&lt;=5,"Kolay",IF(VALUE(MID(D38,2,2))&lt;=10,"Orta","Zor")))</f>
        <v/>
      </c>
      <c r="H38" s="55" t="n"/>
      <c r="I38" s="57" t="n"/>
      <c r="J38" s="58" t="n"/>
      <c r="K38" s="55" t="n"/>
      <c r="L38" s="59" t="n"/>
      <c r="M38" s="59" t="n"/>
      <c r="N38" s="55" t="n"/>
      <c r="O38" s="55" t="n"/>
      <c r="P38" s="60" t="n"/>
      <c r="Q38" s="57" t="n"/>
      <c r="R38" s="59" t="n"/>
      <c r="S38" s="61">
        <f>IF(OR(K38="Evet",N38="Evet",H38="FAIL"),"🚩","")</f>
        <v/>
      </c>
    </row>
    <row r="39" ht="15" customHeight="1" s="49">
      <c r="A39" s="53">
        <f>IF(B39="","",ROW()-4)</f>
        <v/>
      </c>
      <c r="B39" s="54" t="n"/>
      <c r="C39" s="55" t="n"/>
      <c r="D39" s="55" t="n"/>
      <c r="E39" s="56">
        <f>IFERROR(VLOOKUP(D39,'Senaryo Analizi'!A$5:B$19,2,FALSE),"")</f>
        <v/>
      </c>
      <c r="F39" s="56">
        <f>IFERROR(VLOOKUP(D39,'Senaryo Analizi'!A$5:C$19,3,FALSE),"")</f>
        <v/>
      </c>
      <c r="G39" s="55">
        <f>IF(D39="","",IF(VALUE(MID(D39,2,2))&lt;=5,"Kolay",IF(VALUE(MID(D39,2,2))&lt;=10,"Orta","Zor")))</f>
        <v/>
      </c>
      <c r="H39" s="55" t="n"/>
      <c r="I39" s="57" t="n"/>
      <c r="J39" s="58" t="n"/>
      <c r="K39" s="55" t="n"/>
      <c r="L39" s="59" t="n"/>
      <c r="M39" s="59" t="n"/>
      <c r="N39" s="55" t="n"/>
      <c r="O39" s="55" t="n"/>
      <c r="P39" s="60" t="n"/>
      <c r="Q39" s="57" t="n"/>
      <c r="R39" s="59" t="n"/>
      <c r="S39" s="61">
        <f>IF(OR(K39="Evet",N39="Evet",H39="FAIL"),"🚩","")</f>
        <v/>
      </c>
    </row>
    <row r="40" ht="15" customHeight="1" s="49">
      <c r="A40" s="53">
        <f>IF(B40="","",ROW()-4)</f>
        <v/>
      </c>
      <c r="B40" s="54" t="n"/>
      <c r="C40" s="55" t="n"/>
      <c r="D40" s="55" t="n"/>
      <c r="E40" s="56">
        <f>IFERROR(VLOOKUP(D40,'Senaryo Analizi'!A$5:B$19,2,FALSE),"")</f>
        <v/>
      </c>
      <c r="F40" s="56">
        <f>IFERROR(VLOOKUP(D40,'Senaryo Analizi'!A$5:C$19,3,FALSE),"")</f>
        <v/>
      </c>
      <c r="G40" s="55">
        <f>IF(D40="","",IF(VALUE(MID(D40,2,2))&lt;=5,"Kolay",IF(VALUE(MID(D40,2,2))&lt;=10,"Orta","Zor")))</f>
        <v/>
      </c>
      <c r="H40" s="55" t="n"/>
      <c r="I40" s="57" t="n"/>
      <c r="J40" s="58" t="n"/>
      <c r="K40" s="55" t="n"/>
      <c r="L40" s="59" t="n"/>
      <c r="M40" s="59" t="n"/>
      <c r="N40" s="55" t="n"/>
      <c r="O40" s="55" t="n"/>
      <c r="P40" s="60" t="n"/>
      <c r="Q40" s="57" t="n"/>
      <c r="R40" s="59" t="n"/>
      <c r="S40" s="61">
        <f>IF(OR(K40="Evet",N40="Evet",H40="FAIL"),"🚩","")</f>
        <v/>
      </c>
    </row>
    <row r="41" ht="15" customHeight="1" s="49">
      <c r="A41" s="53">
        <f>IF(B41="","",ROW()-4)</f>
        <v/>
      </c>
      <c r="B41" s="54" t="n"/>
      <c r="C41" s="55" t="n"/>
      <c r="D41" s="55" t="n"/>
      <c r="E41" s="56">
        <f>IFERROR(VLOOKUP(D41,'Senaryo Analizi'!A$5:B$19,2,FALSE),"")</f>
        <v/>
      </c>
      <c r="F41" s="56">
        <f>IFERROR(VLOOKUP(D41,'Senaryo Analizi'!A$5:C$19,3,FALSE),"")</f>
        <v/>
      </c>
      <c r="G41" s="55">
        <f>IF(D41="","",IF(VALUE(MID(D41,2,2))&lt;=5,"Kolay",IF(VALUE(MID(D41,2,2))&lt;=10,"Orta","Zor")))</f>
        <v/>
      </c>
      <c r="H41" s="55" t="n"/>
      <c r="I41" s="57" t="n"/>
      <c r="J41" s="58" t="n"/>
      <c r="K41" s="55" t="n"/>
      <c r="L41" s="59" t="n"/>
      <c r="M41" s="59" t="n"/>
      <c r="N41" s="55" t="n"/>
      <c r="O41" s="55" t="n"/>
      <c r="P41" s="60" t="n"/>
      <c r="Q41" s="57" t="n"/>
      <c r="R41" s="59" t="n"/>
      <c r="S41" s="61">
        <f>IF(OR(K41="Evet",N41="Evet",H41="FAIL"),"🚩","")</f>
        <v/>
      </c>
    </row>
    <row r="42" ht="15" customHeight="1" s="49">
      <c r="A42" s="53">
        <f>IF(B42="","",ROW()-4)</f>
        <v/>
      </c>
      <c r="B42" s="54" t="n"/>
      <c r="C42" s="55" t="n"/>
      <c r="D42" s="55" t="n"/>
      <c r="E42" s="56">
        <f>IFERROR(VLOOKUP(D42,'Senaryo Analizi'!A$5:B$19,2,FALSE),"")</f>
        <v/>
      </c>
      <c r="F42" s="56">
        <f>IFERROR(VLOOKUP(D42,'Senaryo Analizi'!A$5:C$19,3,FALSE),"")</f>
        <v/>
      </c>
      <c r="G42" s="55">
        <f>IF(D42="","",IF(VALUE(MID(D42,2,2))&lt;=5,"Kolay",IF(VALUE(MID(D42,2,2))&lt;=10,"Orta","Zor")))</f>
        <v/>
      </c>
      <c r="H42" s="55" t="n"/>
      <c r="I42" s="57" t="n"/>
      <c r="J42" s="58" t="n"/>
      <c r="K42" s="55" t="n"/>
      <c r="L42" s="59" t="n"/>
      <c r="M42" s="59" t="n"/>
      <c r="N42" s="55" t="n"/>
      <c r="O42" s="55" t="n"/>
      <c r="P42" s="60" t="n"/>
      <c r="Q42" s="57" t="n"/>
      <c r="R42" s="59" t="n"/>
      <c r="S42" s="61">
        <f>IF(OR(K42="Evet",N42="Evet",H42="FAIL"),"🚩","")</f>
        <v/>
      </c>
    </row>
    <row r="43" ht="15" customHeight="1" s="49">
      <c r="A43" s="53">
        <f>IF(B43="","",ROW()-4)</f>
        <v/>
      </c>
      <c r="B43" s="54" t="n"/>
      <c r="C43" s="55" t="n"/>
      <c r="D43" s="55" t="n"/>
      <c r="E43" s="56">
        <f>IFERROR(VLOOKUP(D43,'Senaryo Analizi'!A$5:B$19,2,FALSE),"")</f>
        <v/>
      </c>
      <c r="F43" s="56">
        <f>IFERROR(VLOOKUP(D43,'Senaryo Analizi'!A$5:C$19,3,FALSE),"")</f>
        <v/>
      </c>
      <c r="G43" s="55">
        <f>IF(D43="","",IF(VALUE(MID(D43,2,2))&lt;=5,"Kolay",IF(VALUE(MID(D43,2,2))&lt;=10,"Orta","Zor")))</f>
        <v/>
      </c>
      <c r="H43" s="55" t="n"/>
      <c r="I43" s="57" t="n"/>
      <c r="J43" s="58" t="n"/>
      <c r="K43" s="55" t="n"/>
      <c r="L43" s="59" t="n"/>
      <c r="M43" s="59" t="n"/>
      <c r="N43" s="55" t="n"/>
      <c r="O43" s="55" t="n"/>
      <c r="P43" s="60" t="n"/>
      <c r="Q43" s="57" t="n"/>
      <c r="R43" s="59" t="n"/>
      <c r="S43" s="61">
        <f>IF(OR(K43="Evet",N43="Evet",H43="FAIL"),"🚩","")</f>
        <v/>
      </c>
    </row>
    <row r="44" ht="15" customHeight="1" s="49">
      <c r="A44" s="53">
        <f>IF(B44="","",ROW()-4)</f>
        <v/>
      </c>
      <c r="B44" s="54" t="n"/>
      <c r="C44" s="55" t="n"/>
      <c r="D44" s="55" t="n"/>
      <c r="E44" s="56">
        <f>IFERROR(VLOOKUP(D44,'Senaryo Analizi'!A$5:B$19,2,FALSE),"")</f>
        <v/>
      </c>
      <c r="F44" s="56">
        <f>IFERROR(VLOOKUP(D44,'Senaryo Analizi'!A$5:C$19,3,FALSE),"")</f>
        <v/>
      </c>
      <c r="G44" s="55">
        <f>IF(D44="","",IF(VALUE(MID(D44,2,2))&lt;=5,"Kolay",IF(VALUE(MID(D44,2,2))&lt;=10,"Orta","Zor")))</f>
        <v/>
      </c>
      <c r="H44" s="55" t="n"/>
      <c r="I44" s="57" t="n"/>
      <c r="J44" s="58" t="n"/>
      <c r="K44" s="55" t="n"/>
      <c r="L44" s="59" t="n"/>
      <c r="M44" s="59" t="n"/>
      <c r="N44" s="55" t="n"/>
      <c r="O44" s="55" t="n"/>
      <c r="P44" s="60" t="n"/>
      <c r="Q44" s="57" t="n"/>
      <c r="R44" s="59" t="n"/>
      <c r="S44" s="61">
        <f>IF(OR(K44="Evet",N44="Evet",H44="FAIL"),"🚩","")</f>
        <v/>
      </c>
    </row>
    <row r="45" ht="15" customHeight="1" s="49">
      <c r="A45" s="53">
        <f>IF(B45="","",ROW()-4)</f>
        <v/>
      </c>
      <c r="B45" s="54" t="n"/>
      <c r="C45" s="55" t="n"/>
      <c r="D45" s="55" t="n"/>
      <c r="E45" s="56">
        <f>IFERROR(VLOOKUP(D45,'Senaryo Analizi'!A$5:B$19,2,FALSE),"")</f>
        <v/>
      </c>
      <c r="F45" s="56">
        <f>IFERROR(VLOOKUP(D45,'Senaryo Analizi'!A$5:C$19,3,FALSE),"")</f>
        <v/>
      </c>
      <c r="G45" s="55">
        <f>IF(D45="","",IF(VALUE(MID(D45,2,2))&lt;=5,"Kolay",IF(VALUE(MID(D45,2,2))&lt;=10,"Orta","Zor")))</f>
        <v/>
      </c>
      <c r="H45" s="55" t="n"/>
      <c r="I45" s="57" t="n"/>
      <c r="J45" s="58" t="n"/>
      <c r="K45" s="55" t="n"/>
      <c r="L45" s="59" t="n"/>
      <c r="M45" s="59" t="n"/>
      <c r="N45" s="55" t="n"/>
      <c r="O45" s="55" t="n"/>
      <c r="P45" s="60" t="n"/>
      <c r="Q45" s="57" t="n"/>
      <c r="R45" s="59" t="n"/>
      <c r="S45" s="61">
        <f>IF(OR(K45="Evet",N45="Evet",H45="FAIL"),"🚩","")</f>
        <v/>
      </c>
    </row>
    <row r="46" ht="15" customHeight="1" s="49">
      <c r="A46" s="53">
        <f>IF(B46="","",ROW()-4)</f>
        <v/>
      </c>
      <c r="B46" s="54" t="n"/>
      <c r="C46" s="55" t="n"/>
      <c r="D46" s="55" t="n"/>
      <c r="E46" s="56">
        <f>IFERROR(VLOOKUP(D46,'Senaryo Analizi'!A$5:B$19,2,FALSE),"")</f>
        <v/>
      </c>
      <c r="F46" s="56">
        <f>IFERROR(VLOOKUP(D46,'Senaryo Analizi'!A$5:C$19,3,FALSE),"")</f>
        <v/>
      </c>
      <c r="G46" s="55">
        <f>IF(D46="","",IF(VALUE(MID(D46,2,2))&lt;=5,"Kolay",IF(VALUE(MID(D46,2,2))&lt;=10,"Orta","Zor")))</f>
        <v/>
      </c>
      <c r="H46" s="55" t="n"/>
      <c r="I46" s="57" t="n"/>
      <c r="J46" s="58" t="n"/>
      <c r="K46" s="55" t="n"/>
      <c r="L46" s="59" t="n"/>
      <c r="M46" s="59" t="n"/>
      <c r="N46" s="55" t="n"/>
      <c r="O46" s="55" t="n"/>
      <c r="P46" s="60" t="n"/>
      <c r="Q46" s="57" t="n"/>
      <c r="R46" s="59" t="n"/>
      <c r="S46" s="61">
        <f>IF(OR(K46="Evet",N46="Evet",H46="FAIL"),"🚩","")</f>
        <v/>
      </c>
    </row>
    <row r="47" ht="15" customHeight="1" s="49">
      <c r="A47" s="53">
        <f>IF(B47="","",ROW()-4)</f>
        <v/>
      </c>
      <c r="B47" s="54" t="n"/>
      <c r="C47" s="55" t="n"/>
      <c r="D47" s="55" t="n"/>
      <c r="E47" s="56">
        <f>IFERROR(VLOOKUP(D47,'Senaryo Analizi'!A$5:B$19,2,FALSE),"")</f>
        <v/>
      </c>
      <c r="F47" s="56">
        <f>IFERROR(VLOOKUP(D47,'Senaryo Analizi'!A$5:C$19,3,FALSE),"")</f>
        <v/>
      </c>
      <c r="G47" s="55">
        <f>IF(D47="","",IF(VALUE(MID(D47,2,2))&lt;=5,"Kolay",IF(VALUE(MID(D47,2,2))&lt;=10,"Orta","Zor")))</f>
        <v/>
      </c>
      <c r="H47" s="55" t="n"/>
      <c r="I47" s="57" t="n"/>
      <c r="J47" s="58" t="n"/>
      <c r="K47" s="55" t="n"/>
      <c r="L47" s="59" t="n"/>
      <c r="M47" s="59" t="n"/>
      <c r="N47" s="55" t="n"/>
      <c r="O47" s="55" t="n"/>
      <c r="P47" s="60" t="n"/>
      <c r="Q47" s="57" t="n"/>
      <c r="R47" s="59" t="n"/>
      <c r="S47" s="61">
        <f>IF(OR(K47="Evet",N47="Evet",H47="FAIL"),"🚩","")</f>
        <v/>
      </c>
    </row>
    <row r="48" ht="15" customHeight="1" s="49">
      <c r="A48" s="53">
        <f>IF(B48="","",ROW()-4)</f>
        <v/>
      </c>
      <c r="B48" s="54" t="n"/>
      <c r="C48" s="55" t="n"/>
      <c r="D48" s="55" t="n"/>
      <c r="E48" s="56">
        <f>IFERROR(VLOOKUP(D48,'Senaryo Analizi'!A$5:B$19,2,FALSE),"")</f>
        <v/>
      </c>
      <c r="F48" s="56">
        <f>IFERROR(VLOOKUP(D48,'Senaryo Analizi'!A$5:C$19,3,FALSE),"")</f>
        <v/>
      </c>
      <c r="G48" s="55">
        <f>IF(D48="","",IF(VALUE(MID(D48,2,2))&lt;=5,"Kolay",IF(VALUE(MID(D48,2,2))&lt;=10,"Orta","Zor")))</f>
        <v/>
      </c>
      <c r="H48" s="55" t="n"/>
      <c r="I48" s="57" t="n"/>
      <c r="J48" s="58" t="n"/>
      <c r="K48" s="55" t="n"/>
      <c r="L48" s="59" t="n"/>
      <c r="M48" s="59" t="n"/>
      <c r="N48" s="55" t="n"/>
      <c r="O48" s="55" t="n"/>
      <c r="P48" s="60" t="n"/>
      <c r="Q48" s="57" t="n"/>
      <c r="R48" s="59" t="n"/>
      <c r="S48" s="61">
        <f>IF(OR(K48="Evet",N48="Evet",H48="FAIL"),"🚩","")</f>
        <v/>
      </c>
    </row>
    <row r="49" ht="15" customHeight="1" s="49">
      <c r="A49" s="53">
        <f>IF(B49="","",ROW()-4)</f>
        <v/>
      </c>
      <c r="B49" s="54" t="n"/>
      <c r="C49" s="55" t="n"/>
      <c r="D49" s="55" t="n"/>
      <c r="E49" s="56">
        <f>IFERROR(VLOOKUP(D49,'Senaryo Analizi'!A$5:B$19,2,FALSE),"")</f>
        <v/>
      </c>
      <c r="F49" s="56">
        <f>IFERROR(VLOOKUP(D49,'Senaryo Analizi'!A$5:C$19,3,FALSE),"")</f>
        <v/>
      </c>
      <c r="G49" s="55">
        <f>IF(D49="","",IF(VALUE(MID(D49,2,2))&lt;=5,"Kolay",IF(VALUE(MID(D49,2,2))&lt;=10,"Orta","Zor")))</f>
        <v/>
      </c>
      <c r="H49" s="55" t="n"/>
      <c r="I49" s="57" t="n"/>
      <c r="J49" s="58" t="n"/>
      <c r="K49" s="55" t="n"/>
      <c r="L49" s="59" t="n"/>
      <c r="M49" s="59" t="n"/>
      <c r="N49" s="55" t="n"/>
      <c r="O49" s="55" t="n"/>
      <c r="P49" s="60" t="n"/>
      <c r="Q49" s="57" t="n"/>
      <c r="R49" s="59" t="n"/>
      <c r="S49" s="61">
        <f>IF(OR(K49="Evet",N49="Evet",H49="FAIL"),"🚩","")</f>
        <v/>
      </c>
    </row>
    <row r="50" ht="15" customHeight="1" s="49">
      <c r="A50" s="53">
        <f>IF(B50="","",ROW()-4)</f>
        <v/>
      </c>
      <c r="B50" s="54" t="n"/>
      <c r="C50" s="55" t="n"/>
      <c r="D50" s="55" t="n"/>
      <c r="E50" s="56">
        <f>IFERROR(VLOOKUP(D50,'Senaryo Analizi'!A$5:B$19,2,FALSE),"")</f>
        <v/>
      </c>
      <c r="F50" s="56">
        <f>IFERROR(VLOOKUP(D50,'Senaryo Analizi'!A$5:C$19,3,FALSE),"")</f>
        <v/>
      </c>
      <c r="G50" s="55">
        <f>IF(D50="","",IF(VALUE(MID(D50,2,2))&lt;=5,"Kolay",IF(VALUE(MID(D50,2,2))&lt;=10,"Orta","Zor")))</f>
        <v/>
      </c>
      <c r="H50" s="55" t="n"/>
      <c r="I50" s="57" t="n"/>
      <c r="J50" s="58" t="n"/>
      <c r="K50" s="55" t="n"/>
      <c r="L50" s="59" t="n"/>
      <c r="M50" s="59" t="n"/>
      <c r="N50" s="55" t="n"/>
      <c r="O50" s="55" t="n"/>
      <c r="P50" s="60" t="n"/>
      <c r="Q50" s="57" t="n"/>
      <c r="R50" s="59" t="n"/>
      <c r="S50" s="61">
        <f>IF(OR(K50="Evet",N50="Evet",H50="FAIL"),"🚩","")</f>
        <v/>
      </c>
    </row>
    <row r="51" ht="15" customHeight="1" s="49">
      <c r="A51" s="53">
        <f>IF(B51="","",ROW()-4)</f>
        <v/>
      </c>
      <c r="B51" s="54" t="n"/>
      <c r="C51" s="55" t="n"/>
      <c r="D51" s="55" t="n"/>
      <c r="E51" s="56">
        <f>IFERROR(VLOOKUP(D51,'Senaryo Analizi'!A$5:B$19,2,FALSE),"")</f>
        <v/>
      </c>
      <c r="F51" s="56">
        <f>IFERROR(VLOOKUP(D51,'Senaryo Analizi'!A$5:C$19,3,FALSE),"")</f>
        <v/>
      </c>
      <c r="G51" s="55">
        <f>IF(D51="","",IF(VALUE(MID(D51,2,2))&lt;=5,"Kolay",IF(VALUE(MID(D51,2,2))&lt;=10,"Orta","Zor")))</f>
        <v/>
      </c>
      <c r="H51" s="55" t="n"/>
      <c r="I51" s="57" t="n"/>
      <c r="J51" s="58" t="n"/>
      <c r="K51" s="55" t="n"/>
      <c r="L51" s="59" t="n"/>
      <c r="M51" s="59" t="n"/>
      <c r="N51" s="55" t="n"/>
      <c r="O51" s="55" t="n"/>
      <c r="P51" s="60" t="n"/>
      <c r="Q51" s="57" t="n"/>
      <c r="R51" s="59" t="n"/>
      <c r="S51" s="61">
        <f>IF(OR(K51="Evet",N51="Evet",H51="FAIL"),"🚩","")</f>
        <v/>
      </c>
    </row>
    <row r="52" ht="15" customHeight="1" s="49">
      <c r="A52" s="53">
        <f>IF(B52="","",ROW()-4)</f>
        <v/>
      </c>
      <c r="B52" s="54" t="n"/>
      <c r="C52" s="55" t="n"/>
      <c r="D52" s="55" t="n"/>
      <c r="E52" s="56">
        <f>IFERROR(VLOOKUP(D52,'Senaryo Analizi'!A$5:B$19,2,FALSE),"")</f>
        <v/>
      </c>
      <c r="F52" s="56">
        <f>IFERROR(VLOOKUP(D52,'Senaryo Analizi'!A$5:C$19,3,FALSE),"")</f>
        <v/>
      </c>
      <c r="G52" s="55">
        <f>IF(D52="","",IF(VALUE(MID(D52,2,2))&lt;=5,"Kolay",IF(VALUE(MID(D52,2,2))&lt;=10,"Orta","Zor")))</f>
        <v/>
      </c>
      <c r="H52" s="55" t="n"/>
      <c r="I52" s="57" t="n"/>
      <c r="J52" s="58" t="n"/>
      <c r="K52" s="55" t="n"/>
      <c r="L52" s="59" t="n"/>
      <c r="M52" s="59" t="n"/>
      <c r="N52" s="55" t="n"/>
      <c r="O52" s="55" t="n"/>
      <c r="P52" s="60" t="n"/>
      <c r="Q52" s="57" t="n"/>
      <c r="R52" s="59" t="n"/>
      <c r="S52" s="61">
        <f>IF(OR(K52="Evet",N52="Evet",H52="FAIL"),"🚩","")</f>
        <v/>
      </c>
    </row>
    <row r="53" ht="15" customHeight="1" s="49">
      <c r="A53" s="53">
        <f>IF(B53="","",ROW()-4)</f>
        <v/>
      </c>
      <c r="B53" s="54" t="n"/>
      <c r="C53" s="55" t="n"/>
      <c r="D53" s="55" t="n"/>
      <c r="E53" s="56">
        <f>IFERROR(VLOOKUP(D53,'Senaryo Analizi'!A$5:B$19,2,FALSE),"")</f>
        <v/>
      </c>
      <c r="F53" s="56">
        <f>IFERROR(VLOOKUP(D53,'Senaryo Analizi'!A$5:C$19,3,FALSE),"")</f>
        <v/>
      </c>
      <c r="G53" s="55">
        <f>IF(D53="","",IF(VALUE(MID(D53,2,2))&lt;=5,"Kolay",IF(VALUE(MID(D53,2,2))&lt;=10,"Orta","Zor")))</f>
        <v/>
      </c>
      <c r="H53" s="55" t="n"/>
      <c r="I53" s="57" t="n"/>
      <c r="J53" s="58" t="n"/>
      <c r="K53" s="55" t="n"/>
      <c r="L53" s="59" t="n"/>
      <c r="M53" s="59" t="n"/>
      <c r="N53" s="55" t="n"/>
      <c r="O53" s="55" t="n"/>
      <c r="P53" s="60" t="n"/>
      <c r="Q53" s="57" t="n"/>
      <c r="R53" s="59" t="n"/>
      <c r="S53" s="61">
        <f>IF(OR(K53="Evet",N53="Evet",H53="FAIL"),"🚩","")</f>
        <v/>
      </c>
    </row>
    <row r="54" ht="15" customHeight="1" s="49">
      <c r="A54" s="53">
        <f>IF(B54="","",ROW()-4)</f>
        <v/>
      </c>
      <c r="B54" s="54" t="n"/>
      <c r="C54" s="55" t="n"/>
      <c r="D54" s="55" t="n"/>
      <c r="E54" s="56">
        <f>IFERROR(VLOOKUP(D54,'Senaryo Analizi'!A$5:B$19,2,FALSE),"")</f>
        <v/>
      </c>
      <c r="F54" s="56">
        <f>IFERROR(VLOOKUP(D54,'Senaryo Analizi'!A$5:C$19,3,FALSE),"")</f>
        <v/>
      </c>
      <c r="G54" s="55">
        <f>IF(D54="","",IF(VALUE(MID(D54,2,2))&lt;=5,"Kolay",IF(VALUE(MID(D54,2,2))&lt;=10,"Orta","Zor")))</f>
        <v/>
      </c>
      <c r="H54" s="55" t="n"/>
      <c r="I54" s="57" t="n"/>
      <c r="J54" s="58" t="n"/>
      <c r="K54" s="55" t="n"/>
      <c r="L54" s="59" t="n"/>
      <c r="M54" s="59" t="n"/>
      <c r="N54" s="55" t="n"/>
      <c r="O54" s="55" t="n"/>
      <c r="P54" s="60" t="n"/>
      <c r="Q54" s="57" t="n"/>
      <c r="R54" s="59" t="n"/>
      <c r="S54" s="61">
        <f>IF(OR(K54="Evet",N54="Evet",H54="FAIL"),"🚩","")</f>
        <v/>
      </c>
    </row>
  </sheetData>
  <mergeCells count="2">
    <mergeCell ref="A2:S2"/>
    <mergeCell ref="A1:S1"/>
  </mergeCells>
  <conditionalFormatting sqref="A5:S54">
    <cfRule type="expression" rank="0" priority="2" equalAverage="0" aboveAverage="0" dxfId="0" text="" percent="0" bottom="0">
      <formula>$H5="PASS"</formula>
    </cfRule>
    <cfRule type="expression" rank="0" priority="3" equalAverage="0" aboveAverage="0" dxfId="1" text="" percent="0" bottom="0">
      <formula>$H5="FAIL"</formula>
    </cfRule>
    <cfRule type="expression" rank="0" priority="4" equalAverage="0" aboveAverage="0" dxfId="2" text="" percent="0" bottom="0">
      <formula>$H5="PARTIAL"</formula>
    </cfRule>
  </conditionalFormatting>
  <conditionalFormatting sqref="K5:K54">
    <cfRule type="expression" rank="0" priority="5" equalAverage="0" aboveAverage="0" dxfId="3" text="" percent="0" bottom="0">
      <formula>$K5="Evet"</formula>
    </cfRule>
  </conditionalFormatting>
  <dataValidations count="5">
    <dataValidation sqref="H5:H54" showDropDown="0" showInputMessage="0" showErrorMessage="0" allowBlank="0" type="list" errorStyle="stop" operator="between">
      <formula1>"PASS,FAIL,PARTIAL"</formula1>
      <formula2>0</formula2>
    </dataValidation>
    <dataValidation sqref="J5:K54 N5:O54" showDropDown="0" showInputMessage="0" showErrorMessage="0" allowBlank="0" type="list" errorStyle="stop" operator="between">
      <formula1>"Evet,Hayır"</formula1>
      <formula2>0</formula2>
    </dataValidation>
    <dataValidation sqref="L5:L54" showDropDown="0" showInputMessage="0" showErrorMessage="0" allowBlank="0" type="list" errorStyle="stop" operator="between">
      <formula1>"Yok,Uydurma Parça,Yanlış Teşhis,Protokol Dışı,Dil Karışımı,Diğer"</formula1>
      <formula2>0</formula2>
    </dataValidation>
    <dataValidation sqref="G5:G54" showDropDown="0" showInputMessage="0" showErrorMessage="0" allowBlank="0" type="list" errorStyle="stop" operator="between">
      <formula1>"Kolay,Orta,Zor"</formula1>
      <formula2>0</formula2>
    </dataValidation>
    <dataValidation sqref="D5:D54" showDropDown="0" showInputMessage="0" showErrorMessage="1" allowBlank="1" errorTitle="Geçersiz Senaryo" error="Lütfen S01-S15 arasında bir senaryo seçin." type="list">
      <formula1>"S01,S02,S03,S04,S05,S06,S07,S08,S09,S10,S11,S12,S13,S14,S15"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8" min="1" max="1"/>
    <col width="28" customWidth="1" style="48" min="2" max="2"/>
    <col width="30" customWidth="1" style="48" min="3" max="3"/>
    <col width="12" customWidth="1" style="48" min="4" max="4"/>
    <col width="8" customWidth="1" style="48" min="5" max="7"/>
    <col width="14" customWidth="1" style="48" min="8" max="8"/>
    <col width="12" customWidth="1" style="48" min="9" max="9"/>
    <col width="18" customWidth="1" style="48" min="10" max="10"/>
    <col width="12" customWidth="1" style="48" min="11" max="11"/>
    <col width="14" customWidth="1" style="48" min="12" max="12"/>
  </cols>
  <sheetData>
    <row r="1" ht="27.75" customHeight="1" s="49">
      <c r="A1" s="62" t="inlineStr">
        <is>
          <t>Senaryo Bazlı Başarı &amp; Halüsinasyon Analizi</t>
        </is>
      </c>
    </row>
    <row r="2" ht="15" customHeight="1" s="49">
      <c r="A2" s="51" t="inlineStr">
        <is>
          <t>Test Log sayfasındaki verilerden otomatik hesaplanır. Senaryo ID'leri eşleşmelidir.</t>
        </is>
      </c>
    </row>
    <row r="3" ht="6" customHeight="1" s="49"/>
    <row r="4" ht="15" customHeight="1" s="49">
      <c r="A4" s="52" t="inlineStr">
        <is>
          <t>Senaryo ID</t>
        </is>
      </c>
      <c r="B4" s="52" t="inlineStr">
        <is>
          <t>Senaryo Adı</t>
        </is>
      </c>
      <c r="C4" s="52" t="inlineStr">
        <is>
          <t>Araç / Arıza</t>
        </is>
      </c>
      <c r="D4" s="52" t="inlineStr">
        <is>
          <t>Test Sayısı</t>
        </is>
      </c>
      <c r="E4" s="52" t="inlineStr">
        <is>
          <t>PASS</t>
        </is>
      </c>
      <c r="F4" s="52" t="inlineStr">
        <is>
          <t>FAIL</t>
        </is>
      </c>
      <c r="G4" s="52" t="inlineStr">
        <is>
          <t>PARTIAL</t>
        </is>
      </c>
      <c r="H4" s="52" t="inlineStr">
        <is>
          <t>Başarı Oranı %</t>
        </is>
      </c>
      <c r="I4" s="52" t="inlineStr">
        <is>
          <t>Ort. Mesaj</t>
        </is>
      </c>
      <c r="J4" s="52" t="inlineStr">
        <is>
          <t>Halüsinasyon Sayısı</t>
        </is>
      </c>
      <c r="K4" s="52" t="inlineStr">
        <is>
          <t>Hal. Oranı %</t>
        </is>
      </c>
      <c r="L4" s="52" t="inlineStr">
        <is>
          <t>Risk Seviyesi</t>
        </is>
      </c>
    </row>
    <row r="5" ht="15" customHeight="1" s="49">
      <c r="A5" s="63" t="inlineStr">
        <is>
          <t>S01</t>
        </is>
      </c>
      <c r="B5" s="64" t="inlineStr">
        <is>
          <t>Araç Çalışmıyor (Akü)</t>
        </is>
      </c>
      <c r="C5" s="64" t="inlineStr">
        <is>
          <t>Elektrik – Akü</t>
        </is>
      </c>
      <c r="D5" s="65">
        <f>COUNTIF('Test Log'!D$5:D$54,A5)</f>
        <v/>
      </c>
      <c r="E5" s="65">
        <f>COUNTIFS('Test Log'!D$5:D$54,A5,'Test Log'!H$5:H$54,"PASS")</f>
        <v/>
      </c>
      <c r="F5" s="65">
        <f>COUNTIFS('Test Log'!D$5:D$54,A5,'Test Log'!H$5:H$54,"FAIL")</f>
        <v/>
      </c>
      <c r="G5" s="65">
        <f>COUNTIFS('Test Log'!D$5:D$54,A5,'Test Log'!H$5:H$54,"PARTIAL")</f>
        <v/>
      </c>
      <c r="H5" s="66">
        <f>IFERROR(E5/D5,0)</f>
        <v/>
      </c>
      <c r="I5" s="67">
        <f>IFERROR(AVERAGEIF('Test Log'!D$5:D$54,A5,'Test Log'!I$5:I$54),0)</f>
        <v/>
      </c>
      <c r="J5" s="65">
        <f>COUNTIFS('Test Log'!D$5:D$54,A5,'Test Log'!K$5:K$54,"Evet")</f>
        <v/>
      </c>
      <c r="K5" s="66">
        <f>IFERROR(J5/D5,0)</f>
        <v/>
      </c>
      <c r="L5" s="65">
        <f>IF(K5&gt;0.3,"🔴 Yüksek",IF(K5&gt;0.1,"🟡 Orta","🟢 Düşük"))</f>
        <v/>
      </c>
    </row>
    <row r="6" ht="15" customHeight="1" s="49">
      <c r="A6" s="68" t="inlineStr">
        <is>
          <t>S02</t>
        </is>
      </c>
      <c r="B6" s="69" t="inlineStr">
        <is>
          <t>Marş Tık Sesi (Starter)</t>
        </is>
      </c>
      <c r="C6" s="69" t="inlineStr">
        <is>
          <t>Elektrik – Marş Motoru</t>
        </is>
      </c>
      <c r="D6" s="70">
        <f>COUNTIF('Test Log'!D$5:D$54,A6)</f>
        <v/>
      </c>
      <c r="E6" s="70">
        <f>COUNTIFS('Test Log'!D$5:D$54,A6,'Test Log'!H$5:H$54,"PASS")</f>
        <v/>
      </c>
      <c r="F6" s="70">
        <f>COUNTIFS('Test Log'!D$5:D$54,A6,'Test Log'!H$5:H$54,"FAIL")</f>
        <v/>
      </c>
      <c r="G6" s="70">
        <f>COUNTIFS('Test Log'!D$5:D$54,A6,'Test Log'!H$5:H$54,"PARTIAL")</f>
        <v/>
      </c>
      <c r="H6" s="71">
        <f>IFERROR(E6/D6,0)</f>
        <v/>
      </c>
      <c r="I6" s="72">
        <f>IFERROR(AVERAGEIF('Test Log'!D$5:D$54,A6,'Test Log'!I$5:I$54),0)</f>
        <v/>
      </c>
      <c r="J6" s="70">
        <f>COUNTIFS('Test Log'!D$5:D$54,A6,'Test Log'!K$5:K$54,"Evet")</f>
        <v/>
      </c>
      <c r="K6" s="71">
        <f>IFERROR(J6/D6,0)</f>
        <v/>
      </c>
      <c r="L6" s="70">
        <f>IF(K6&gt;0.3,"🔴 Yüksek",IF(K6&gt;0.1,"🟡 Orta","🟢 Düşük"))</f>
        <v/>
      </c>
    </row>
    <row r="7" ht="15" customHeight="1" s="49">
      <c r="A7" s="63" t="inlineStr">
        <is>
          <t>S03</t>
        </is>
      </c>
      <c r="B7" s="64" t="inlineStr">
        <is>
          <t>Sol Far Yanmıyor (Sigorta)</t>
        </is>
      </c>
      <c r="C7" s="64" t="inlineStr">
        <is>
          <t>Elektrik – Aydınlatma</t>
        </is>
      </c>
      <c r="D7" s="65">
        <f>COUNTIF('Test Log'!D$5:D$54,A7)</f>
        <v/>
      </c>
      <c r="E7" s="65">
        <f>COUNTIFS('Test Log'!D$5:D$54,A7,'Test Log'!H$5:H$54,"PASS")</f>
        <v/>
      </c>
      <c r="F7" s="65">
        <f>COUNTIFS('Test Log'!D$5:D$54,A7,'Test Log'!H$5:H$54,"FAIL")</f>
        <v/>
      </c>
      <c r="G7" s="65">
        <f>COUNTIFS('Test Log'!D$5:D$54,A7,'Test Log'!H$5:H$54,"PARTIAL")</f>
        <v/>
      </c>
      <c r="H7" s="66">
        <f>IFERROR(E7/D7,0)</f>
        <v/>
      </c>
      <c r="I7" s="67">
        <f>IFERROR(AVERAGEIF('Test Log'!D$5:D$54,A7,'Test Log'!I$5:I$54),0)</f>
        <v/>
      </c>
      <c r="J7" s="65">
        <f>COUNTIFS('Test Log'!D$5:D$54,A7,'Test Log'!K$5:K$54,"Evet")</f>
        <v/>
      </c>
      <c r="K7" s="66">
        <f>IFERROR(J7/D7,0)</f>
        <v/>
      </c>
      <c r="L7" s="65">
        <f>IF(K7&gt;0.3,"🔴 Yüksek",IF(K7&gt;0.1,"🟡 Orta","🟢 Düşük"))</f>
        <v/>
      </c>
    </row>
    <row r="8" ht="15" customHeight="1" s="49">
      <c r="A8" s="68" t="inlineStr">
        <is>
          <t>S04</t>
        </is>
      </c>
      <c r="B8" s="69" t="inlineStr">
        <is>
          <t>Silecek Çalışmıyor (Motor)</t>
        </is>
      </c>
      <c r="C8" s="69" t="inlineStr">
        <is>
          <t>Elektrik – Silecek</t>
        </is>
      </c>
      <c r="D8" s="70">
        <f>COUNTIF('Test Log'!D$5:D$54,A8)</f>
        <v/>
      </c>
      <c r="E8" s="70">
        <f>COUNTIFS('Test Log'!D$5:D$54,A8,'Test Log'!H$5:H$54,"PASS")</f>
        <v/>
      </c>
      <c r="F8" s="70">
        <f>COUNTIFS('Test Log'!D$5:D$54,A8,'Test Log'!H$5:H$54,"FAIL")</f>
        <v/>
      </c>
      <c r="G8" s="70">
        <f>COUNTIFS('Test Log'!D$5:D$54,A8,'Test Log'!H$5:H$54,"PARTIAL")</f>
        <v/>
      </c>
      <c r="H8" s="71">
        <f>IFERROR(E8/D8,0)</f>
        <v/>
      </c>
      <c r="I8" s="72">
        <f>IFERROR(AVERAGEIF('Test Log'!D$5:D$54,A8,'Test Log'!I$5:I$54),0)</f>
        <v/>
      </c>
      <c r="J8" s="70">
        <f>COUNTIFS('Test Log'!D$5:D$54,A8,'Test Log'!K$5:K$54,"Evet")</f>
        <v/>
      </c>
      <c r="K8" s="71">
        <f>IFERROR(J8/D8,0)</f>
        <v/>
      </c>
      <c r="L8" s="70">
        <f>IF(K8&gt;0.3,"🔴 Yüksek",IF(K8&gt;0.1,"🟡 Orta","🟢 Düşük"))</f>
        <v/>
      </c>
    </row>
    <row r="9" ht="15" customHeight="1" s="49">
      <c r="A9" s="63" t="inlineStr">
        <is>
          <t>S05</t>
        </is>
      </c>
      <c r="B9" s="64" t="inlineStr">
        <is>
          <t>Klima Soğutmuyor (Gaz Kaçağı)</t>
        </is>
      </c>
      <c r="C9" s="64" t="inlineStr">
        <is>
          <t>Klima Sistemi</t>
        </is>
      </c>
      <c r="D9" s="65">
        <f>COUNTIF('Test Log'!D$5:D$54,A9)</f>
        <v/>
      </c>
      <c r="E9" s="65">
        <f>COUNTIFS('Test Log'!D$5:D$54,A9,'Test Log'!H$5:H$54,"PASS")</f>
        <v/>
      </c>
      <c r="F9" s="65">
        <f>COUNTIFS('Test Log'!D$5:D$54,A9,'Test Log'!H$5:H$54,"FAIL")</f>
        <v/>
      </c>
      <c r="G9" s="65">
        <f>COUNTIFS('Test Log'!D$5:D$54,A9,'Test Log'!H$5:H$54,"PARTIAL")</f>
        <v/>
      </c>
      <c r="H9" s="66">
        <f>IFERROR(E9/D9,0)</f>
        <v/>
      </c>
      <c r="I9" s="67">
        <f>IFERROR(AVERAGEIF('Test Log'!D$5:D$54,A9,'Test Log'!I$5:I$54),0)</f>
        <v/>
      </c>
      <c r="J9" s="65">
        <f>COUNTIFS('Test Log'!D$5:D$54,A9,'Test Log'!K$5:K$54,"Evet")</f>
        <v/>
      </c>
      <c r="K9" s="66">
        <f>IFERROR(J9/D9,0)</f>
        <v/>
      </c>
      <c r="L9" s="65">
        <f>IF(K9&gt;0.3,"🔴 Yüksek",IF(K9&gt;0.1,"🟡 Orta","🟢 Düşük"))</f>
        <v/>
      </c>
    </row>
    <row r="10" ht="15" customHeight="1" s="49">
      <c r="A10" s="68" t="inlineStr">
        <is>
          <t>S06</t>
        </is>
      </c>
      <c r="B10" s="69" t="inlineStr">
        <is>
          <t>Aşırı Isınma (Termostat)</t>
        </is>
      </c>
      <c r="C10" s="69" t="inlineStr">
        <is>
          <t>Soğutma Sistemi</t>
        </is>
      </c>
      <c r="D10" s="70">
        <f>COUNTIF('Test Log'!D$5:D$54,A10)</f>
        <v/>
      </c>
      <c r="E10" s="70">
        <f>COUNTIFS('Test Log'!D$5:D$54,A10,'Test Log'!H$5:H$54,"PASS")</f>
        <v/>
      </c>
      <c r="F10" s="70">
        <f>COUNTIFS('Test Log'!D$5:D$54,A10,'Test Log'!H$5:H$54,"FAIL")</f>
        <v/>
      </c>
      <c r="G10" s="70">
        <f>COUNTIFS('Test Log'!D$5:D$54,A10,'Test Log'!H$5:H$54,"PARTIAL")</f>
        <v/>
      </c>
      <c r="H10" s="71">
        <f>IFERROR(E10/D10,0)</f>
        <v/>
      </c>
      <c r="I10" s="72">
        <f>IFERROR(AVERAGEIF('Test Log'!D$5:D$54,A10,'Test Log'!I$5:I$54),0)</f>
        <v/>
      </c>
      <c r="J10" s="70">
        <f>COUNTIFS('Test Log'!D$5:D$54,A10,'Test Log'!K$5:K$54,"Evet")</f>
        <v/>
      </c>
      <c r="K10" s="71">
        <f>IFERROR(J10/D10,0)</f>
        <v/>
      </c>
      <c r="L10" s="70">
        <f>IF(K10&gt;0.3,"🔴 Yüksek",IF(K10&gt;0.1,"🟡 Orta","🟢 Düşük"))</f>
        <v/>
      </c>
    </row>
    <row r="11" ht="15" customHeight="1" s="49">
      <c r="A11" s="63" t="inlineStr">
        <is>
          <t>S07</t>
        </is>
      </c>
      <c r="B11" s="64" t="inlineStr">
        <is>
          <t>Rölanti Titremesi (Buji)</t>
        </is>
      </c>
      <c r="C11" s="64" t="inlineStr">
        <is>
          <t>Ateşleme Sistemi</t>
        </is>
      </c>
      <c r="D11" s="65">
        <f>COUNTIF('Test Log'!D$5:D$54,A11)</f>
        <v/>
      </c>
      <c r="E11" s="65">
        <f>COUNTIFS('Test Log'!D$5:D$54,A11,'Test Log'!H$5:H$54,"PASS")</f>
        <v/>
      </c>
      <c r="F11" s="65">
        <f>COUNTIFS('Test Log'!D$5:D$54,A11,'Test Log'!H$5:H$54,"FAIL")</f>
        <v/>
      </c>
      <c r="G11" s="65">
        <f>COUNTIFS('Test Log'!D$5:D$54,A11,'Test Log'!H$5:H$54,"PARTIAL")</f>
        <v/>
      </c>
      <c r="H11" s="66">
        <f>IFERROR(E11/D11,0)</f>
        <v/>
      </c>
      <c r="I11" s="67">
        <f>IFERROR(AVERAGEIF('Test Log'!D$5:D$54,A11,'Test Log'!I$5:I$54),0)</f>
        <v/>
      </c>
      <c r="J11" s="65">
        <f>COUNTIFS('Test Log'!D$5:D$54,A11,'Test Log'!K$5:K$54,"Evet")</f>
        <v/>
      </c>
      <c r="K11" s="66">
        <f>IFERROR(J11/D11,0)</f>
        <v/>
      </c>
      <c r="L11" s="65">
        <f>IF(K11&gt;0.3,"🔴 Yüksek",IF(K11&gt;0.1,"🟡 Orta","🟢 Düşük"))</f>
        <v/>
      </c>
    </row>
    <row r="12" ht="15" customHeight="1" s="49">
      <c r="A12" s="68" t="inlineStr">
        <is>
          <t>S08</t>
        </is>
      </c>
      <c r="B12" s="69" t="inlineStr">
        <is>
          <t>Sert Vites (ATF Sıvısı)</t>
        </is>
      </c>
      <c r="C12" s="69" t="inlineStr">
        <is>
          <t>Otomatik Şanzıman</t>
        </is>
      </c>
      <c r="D12" s="70">
        <f>COUNTIF('Test Log'!D$5:D$54,A12)</f>
        <v/>
      </c>
      <c r="E12" s="70">
        <f>COUNTIFS('Test Log'!D$5:D$54,A12,'Test Log'!H$5:H$54,"PASS")</f>
        <v/>
      </c>
      <c r="F12" s="70">
        <f>COUNTIFS('Test Log'!D$5:D$54,A12,'Test Log'!H$5:H$54,"FAIL")</f>
        <v/>
      </c>
      <c r="G12" s="70">
        <f>COUNTIFS('Test Log'!D$5:D$54,A12,'Test Log'!H$5:H$54,"PARTIAL")</f>
        <v/>
      </c>
      <c r="H12" s="71">
        <f>IFERROR(E12/D12,0)</f>
        <v/>
      </c>
      <c r="I12" s="72">
        <f>IFERROR(AVERAGEIF('Test Log'!D$5:D$54,A12,'Test Log'!I$5:I$54),0)</f>
        <v/>
      </c>
      <c r="J12" s="70">
        <f>COUNTIFS('Test Log'!D$5:D$54,A12,'Test Log'!K$5:K$54,"Evet")</f>
        <v/>
      </c>
      <c r="K12" s="71">
        <f>IFERROR(J12/D12,0)</f>
        <v/>
      </c>
      <c r="L12" s="70">
        <f>IF(K12&gt;0.3,"🔴 Yüksek",IF(K12&gt;0.1,"🟡 Orta","🟢 Düşük"))</f>
        <v/>
      </c>
    </row>
    <row r="13" ht="15" customHeight="1" s="49">
      <c r="A13" s="63" t="inlineStr">
        <is>
          <t>S09</t>
        </is>
      </c>
      <c r="B13" s="64" t="inlineStr">
        <is>
          <t>Fren Sesi (Balata Aşınması)</t>
        </is>
      </c>
      <c r="C13" s="64" t="inlineStr">
        <is>
          <t>Fren Sistemi</t>
        </is>
      </c>
      <c r="D13" s="65">
        <f>COUNTIF('Test Log'!D$5:D$54,A13)</f>
        <v/>
      </c>
      <c r="E13" s="65">
        <f>COUNTIFS('Test Log'!D$5:D$54,A13,'Test Log'!H$5:H$54,"PASS")</f>
        <v/>
      </c>
      <c r="F13" s="65">
        <f>COUNTIFS('Test Log'!D$5:D$54,A13,'Test Log'!H$5:H$54,"FAIL")</f>
        <v/>
      </c>
      <c r="G13" s="65">
        <f>COUNTIFS('Test Log'!D$5:D$54,A13,'Test Log'!H$5:H$54,"PARTIAL")</f>
        <v/>
      </c>
      <c r="H13" s="66">
        <f>IFERROR(E13/D13,0)</f>
        <v/>
      </c>
      <c r="I13" s="67">
        <f>IFERROR(AVERAGEIF('Test Log'!D$5:D$54,A13,'Test Log'!I$5:I$54),0)</f>
        <v/>
      </c>
      <c r="J13" s="65">
        <f>COUNTIFS('Test Log'!D$5:D$54,A13,'Test Log'!K$5:K$54,"Evet")</f>
        <v/>
      </c>
      <c r="K13" s="66">
        <f>IFERROR(J13/D13,0)</f>
        <v/>
      </c>
      <c r="L13" s="65">
        <f>IF(K13&gt;0.3,"🔴 Yüksek",IF(K13&gt;0.1,"🟡 Orta","🟢 Düşük"))</f>
        <v/>
      </c>
    </row>
    <row r="14" ht="15" customHeight="1" s="49">
      <c r="A14" s="68" t="inlineStr">
        <is>
          <t>S10</t>
        </is>
      </c>
      <c r="B14" s="69" t="inlineStr">
        <is>
          <t>Check Engine (O2 Sensör)</t>
        </is>
      </c>
      <c r="C14" s="69" t="inlineStr">
        <is>
          <t>OBD – Sensör Arızası</t>
        </is>
      </c>
      <c r="D14" s="70">
        <f>COUNTIF('Test Log'!D$5:D$54,A14)</f>
        <v/>
      </c>
      <c r="E14" s="70">
        <f>COUNTIFS('Test Log'!D$5:D$54,A14,'Test Log'!H$5:H$54,"PASS")</f>
        <v/>
      </c>
      <c r="F14" s="70">
        <f>COUNTIFS('Test Log'!D$5:D$54,A14,'Test Log'!H$5:H$54,"FAIL")</f>
        <v/>
      </c>
      <c r="G14" s="70">
        <f>COUNTIFS('Test Log'!D$5:D$54,A14,'Test Log'!H$5:H$54,"PARTIAL")</f>
        <v/>
      </c>
      <c r="H14" s="71">
        <f>IFERROR(E14/D14,0)</f>
        <v/>
      </c>
      <c r="I14" s="72">
        <f>IFERROR(AVERAGEIF('Test Log'!D$5:D$54,A14,'Test Log'!I$5:I$54),0)</f>
        <v/>
      </c>
      <c r="J14" s="70">
        <f>COUNTIFS('Test Log'!D$5:D$54,A14,'Test Log'!K$5:K$54,"Evet")</f>
        <v/>
      </c>
      <c r="K14" s="71">
        <f>IFERROR(J14/D14,0)</f>
        <v/>
      </c>
      <c r="L14" s="70">
        <f>IF(K14&gt;0.3,"🔴 Yüksek",IF(K14&gt;0.1,"🟡 Orta","🟢 Düşük"))</f>
        <v/>
      </c>
    </row>
    <row r="15" ht="15" customHeight="1" s="49">
      <c r="A15" s="63" t="inlineStr">
        <is>
          <t>S11</t>
        </is>
      </c>
      <c r="B15" s="64" t="inlineStr">
        <is>
          <t>Yağ Yakma (Piston Segman)</t>
        </is>
      </c>
      <c r="C15" s="64" t="inlineStr">
        <is>
          <t>Motor – Mekanik</t>
        </is>
      </c>
      <c r="D15" s="65">
        <f>COUNTIF('Test Log'!D$5:D$54,A15)</f>
        <v/>
      </c>
      <c r="E15" s="65">
        <f>COUNTIFS('Test Log'!D$5:D$54,A15,'Test Log'!H$5:H$54,"PASS")</f>
        <v/>
      </c>
      <c r="F15" s="65">
        <f>COUNTIFS('Test Log'!D$5:D$54,A15,'Test Log'!H$5:H$54,"FAIL")</f>
        <v/>
      </c>
      <c r="G15" s="65">
        <f>COUNTIFS('Test Log'!D$5:D$54,A15,'Test Log'!H$5:H$54,"PARTIAL")</f>
        <v/>
      </c>
      <c r="H15" s="66">
        <f>IFERROR(E15/D15,0)</f>
        <v/>
      </c>
      <c r="I15" s="67">
        <f>IFERROR(AVERAGEIF('Test Log'!D$5:D$54,A15,'Test Log'!I$5:I$54),0)</f>
        <v/>
      </c>
      <c r="J15" s="65">
        <f>COUNTIFS('Test Log'!D$5:D$54,A15,'Test Log'!K$5:K$54,"Evet")</f>
        <v/>
      </c>
      <c r="K15" s="66">
        <f>IFERROR(J15/D15,0)</f>
        <v/>
      </c>
      <c r="L15" s="65">
        <f>IF(K15&gt;0.3,"🔴 Yüksek",IF(K15&gt;0.1,"🟡 Orta","🟢 Düşük"))</f>
        <v/>
      </c>
    </row>
    <row r="16" ht="15" customHeight="1" s="49">
      <c r="A16" s="68" t="inlineStr">
        <is>
          <t>S12</t>
        </is>
      </c>
      <c r="B16" s="69" t="inlineStr">
        <is>
          <t>Conta Patlaması (Coolant)</t>
        </is>
      </c>
      <c r="C16" s="69" t="inlineStr">
        <is>
          <t>Motor – Conta</t>
        </is>
      </c>
      <c r="D16" s="70">
        <f>COUNTIF('Test Log'!D$5:D$54,A16)</f>
        <v/>
      </c>
      <c r="E16" s="70">
        <f>COUNTIFS('Test Log'!D$5:D$54,A16,'Test Log'!H$5:H$54,"PASS")</f>
        <v/>
      </c>
      <c r="F16" s="70">
        <f>COUNTIFS('Test Log'!D$5:D$54,A16,'Test Log'!H$5:H$54,"FAIL")</f>
        <v/>
      </c>
      <c r="G16" s="70">
        <f>COUNTIFS('Test Log'!D$5:D$54,A16,'Test Log'!H$5:H$54,"PARTIAL")</f>
        <v/>
      </c>
      <c r="H16" s="71">
        <f>IFERROR(E16/D16,0)</f>
        <v/>
      </c>
      <c r="I16" s="72">
        <f>IFERROR(AVERAGEIF('Test Log'!D$5:D$54,A16,'Test Log'!I$5:I$54),0)</f>
        <v/>
      </c>
      <c r="J16" s="70">
        <f>COUNTIFS('Test Log'!D$5:D$54,A16,'Test Log'!K$5:K$54,"Evet")</f>
        <v/>
      </c>
      <c r="K16" s="71">
        <f>IFERROR(J16/D16,0)</f>
        <v/>
      </c>
      <c r="L16" s="70">
        <f>IF(K16&gt;0.3,"🔴 Yüksek",IF(K16&gt;0.1,"🟡 Orta","🟢 Düşük"))</f>
        <v/>
      </c>
    </row>
    <row r="17" ht="15" customHeight="1" s="49">
      <c r="A17" s="63" t="inlineStr">
        <is>
          <t>S13</t>
        </is>
      </c>
      <c r="B17" s="64" t="inlineStr">
        <is>
          <t>Su Pompası Arızası</t>
        </is>
      </c>
      <c r="C17" s="64" t="inlineStr">
        <is>
          <t>Soğutma – Pompa</t>
        </is>
      </c>
      <c r="D17" s="65">
        <f>COUNTIF('Test Log'!D$5:D$54,A17)</f>
        <v/>
      </c>
      <c r="E17" s="65">
        <f>COUNTIFS('Test Log'!D$5:D$54,A17,'Test Log'!H$5:H$54,"PASS")</f>
        <v/>
      </c>
      <c r="F17" s="65">
        <f>COUNTIFS('Test Log'!D$5:D$54,A17,'Test Log'!H$5:H$54,"FAIL")</f>
        <v/>
      </c>
      <c r="G17" s="65">
        <f>COUNTIFS('Test Log'!D$5:D$54,A17,'Test Log'!H$5:H$54,"PARTIAL")</f>
        <v/>
      </c>
      <c r="H17" s="66">
        <f>IFERROR(E17/D17,0)</f>
        <v/>
      </c>
      <c r="I17" s="67">
        <f>IFERROR(AVERAGEIF('Test Log'!D$5:D$54,A17,'Test Log'!I$5:I$54),0)</f>
        <v/>
      </c>
      <c r="J17" s="65">
        <f>COUNTIFS('Test Log'!D$5:D$54,A17,'Test Log'!K$5:K$54,"Evet")</f>
        <v/>
      </c>
      <c r="K17" s="66">
        <f>IFERROR(J17/D17,0)</f>
        <v/>
      </c>
      <c r="L17" s="65">
        <f>IF(K17&gt;0.3,"🔴 Yüksek",IF(K17&gt;0.1,"🟡 Orta","🟢 Düşük"))</f>
        <v/>
      </c>
    </row>
    <row r="18" ht="15" customHeight="1" s="49">
      <c r="A18" s="68" t="inlineStr">
        <is>
          <t>S14</t>
        </is>
      </c>
      <c r="B18" s="69" t="inlineStr">
        <is>
          <t>Güç Kaybı (Triger Kayması)</t>
        </is>
      </c>
      <c r="C18" s="69" t="inlineStr">
        <is>
          <t>Motor – Timing</t>
        </is>
      </c>
      <c r="D18" s="70">
        <f>COUNTIF('Test Log'!D$5:D$54,A18)</f>
        <v/>
      </c>
      <c r="E18" s="70">
        <f>COUNTIFS('Test Log'!D$5:D$54,A18,'Test Log'!H$5:H$54,"PASS")</f>
        <v/>
      </c>
      <c r="F18" s="70">
        <f>COUNTIFS('Test Log'!D$5:D$54,A18,'Test Log'!H$5:H$54,"FAIL")</f>
        <v/>
      </c>
      <c r="G18" s="70">
        <f>COUNTIFS('Test Log'!D$5:D$54,A18,'Test Log'!H$5:H$54,"PARTIAL")</f>
        <v/>
      </c>
      <c r="H18" s="71">
        <f>IFERROR(E18/D18,0)</f>
        <v/>
      </c>
      <c r="I18" s="72">
        <f>IFERROR(AVERAGEIF('Test Log'!D$5:D$54,A18,'Test Log'!I$5:I$54),0)</f>
        <v/>
      </c>
      <c r="J18" s="70">
        <f>COUNTIFS('Test Log'!D$5:D$54,A18,'Test Log'!K$5:K$54,"Evet")</f>
        <v/>
      </c>
      <c r="K18" s="71">
        <f>IFERROR(J18/D18,0)</f>
        <v/>
      </c>
      <c r="L18" s="70">
        <f>IF(K18&gt;0.3,"🔴 Yüksek",IF(K18&gt;0.1,"🟡 Orta","🟢 Düşük"))</f>
        <v/>
      </c>
    </row>
    <row r="19" ht="15" customHeight="1" s="49">
      <c r="A19" s="63" t="inlineStr">
        <is>
          <t>S15</t>
        </is>
      </c>
      <c r="B19" s="64" t="inlineStr">
        <is>
          <t>LPG Arızası (ECU Kalibrasyon)</t>
        </is>
      </c>
      <c r="C19" s="64" t="inlineStr">
        <is>
          <t>LPG Sistemi</t>
        </is>
      </c>
      <c r="D19" s="65">
        <f>COUNTIF('Test Log'!D$5:D$54,A19)</f>
        <v/>
      </c>
      <c r="E19" s="65">
        <f>COUNTIFS('Test Log'!D$5:D$54,A19,'Test Log'!H$5:H$54,"PASS")</f>
        <v/>
      </c>
      <c r="F19" s="65">
        <f>COUNTIFS('Test Log'!D$5:D$54,A19,'Test Log'!H$5:H$54,"FAIL")</f>
        <v/>
      </c>
      <c r="G19" s="65">
        <f>COUNTIFS('Test Log'!D$5:D$54,A19,'Test Log'!H$5:H$54,"PARTIAL")</f>
        <v/>
      </c>
      <c r="H19" s="66">
        <f>IFERROR(E19/D19,0)</f>
        <v/>
      </c>
      <c r="I19" s="67">
        <f>IFERROR(AVERAGEIF('Test Log'!D$5:D$54,A19,'Test Log'!I$5:I$54),0)</f>
        <v/>
      </c>
      <c r="J19" s="65">
        <f>COUNTIFS('Test Log'!D$5:D$54,A19,'Test Log'!K$5:K$54,"Evet")</f>
        <v/>
      </c>
      <c r="K19" s="66">
        <f>IFERROR(J19/D19,0)</f>
        <v/>
      </c>
      <c r="L19" s="65">
        <f>IF(K19&gt;0.3,"🔴 Yüksek",IF(K19&gt;0.1,"🟡 Orta","🟢 Düşük"))</f>
        <v/>
      </c>
    </row>
  </sheetData>
  <mergeCells count="2">
    <mergeCell ref="A2:L2"/>
    <mergeCell ref="A1:L1"/>
  </mergeCells>
  <conditionalFormatting sqref="H5:H19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conditionalFormatting sqref="K5:K19">
    <cfRule type="colorScale" priority="3">
      <colorScale>
        <cfvo type="num" val="0"/>
        <cfvo type="num" val="0.2"/>
        <cfvo type="num" val="0.5"/>
        <color rgb="FF27AE60"/>
        <color rgb="FFF39C12"/>
        <color rgb="FFE74C3C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8" min="1" max="1"/>
    <col width="12" customWidth="1" style="48" min="2" max="3"/>
    <col width="15" customWidth="1" style="48" min="4" max="4"/>
    <col width="20" customWidth="1" style="48" min="5" max="5"/>
    <col width="45" customWidth="1" style="48" min="6" max="7"/>
    <col width="40" customWidth="1" style="48" min="8" max="8"/>
    <col width="22" customWidth="1" style="48" min="9" max="10"/>
  </cols>
  <sheetData>
    <row r="1" ht="27.75" customHeight="1" s="49">
      <c r="A1" s="73" t="inlineStr">
        <is>
          <t>Halüsinasyon Detay Kaydı</t>
        </is>
      </c>
    </row>
    <row r="2" ht="15" customHeight="1" s="49">
      <c r="A2" s="74" t="inlineStr">
        <is>
          <t>Halüsinasyon tespit edilen her vaka için ayrı satır doldurun. Test ID, Test Log ile eşleşmelidir.</t>
        </is>
      </c>
    </row>
    <row r="3" ht="6" customHeight="1" s="49"/>
    <row r="4" ht="15" customHeight="1" s="49">
      <c r="A4" s="75" t="inlineStr">
        <is>
          <t>Test ID</t>
        </is>
      </c>
      <c r="B4" s="75" t="inlineStr">
        <is>
          <t>Senaryo ID</t>
        </is>
      </c>
      <c r="C4" s="75" t="inlineStr">
        <is>
          <t>Tarih</t>
        </is>
      </c>
      <c r="D4" s="75" t="inlineStr">
        <is>
          <t>Tester</t>
        </is>
      </c>
      <c r="E4" s="75" t="inlineStr">
        <is>
          <t>Halüsinasyon Tipi</t>
        </is>
      </c>
      <c r="F4" s="75" t="inlineStr">
        <is>
          <t>AI Yanıtı (özet)</t>
        </is>
      </c>
      <c r="G4" s="75" t="inlineStr">
        <is>
          <t>Doğru Cevap Neydi?</t>
        </is>
      </c>
      <c r="H4" s="75" t="inlineStr">
        <is>
          <t>Tetikleyen Mesaj</t>
        </is>
      </c>
      <c r="I4" s="75" t="inlineStr">
        <is>
          <t>Katman (Giriş/Çıkış/Prompt)</t>
        </is>
      </c>
      <c r="J4" s="75" t="inlineStr">
        <is>
          <t>Aksiyon</t>
        </is>
      </c>
    </row>
    <row r="5" ht="15" customHeight="1" s="49">
      <c r="A5" s="65" t="n"/>
      <c r="B5" s="65" t="n"/>
      <c r="C5" s="76" t="n"/>
      <c r="D5" s="65" t="n"/>
      <c r="E5" s="65" t="n"/>
      <c r="F5" s="77" t="n"/>
      <c r="G5" s="77" t="n"/>
      <c r="H5" s="77" t="n"/>
      <c r="I5" s="65" t="n"/>
      <c r="J5" s="65" t="n"/>
    </row>
    <row r="6" ht="15" customHeight="1" s="49">
      <c r="A6" s="78" t="n"/>
      <c r="B6" s="78" t="n"/>
      <c r="C6" s="79" t="n"/>
      <c r="D6" s="78" t="n"/>
      <c r="E6" s="78" t="n"/>
      <c r="F6" s="80" t="n"/>
      <c r="G6" s="80" t="n"/>
      <c r="H6" s="80" t="n"/>
      <c r="I6" s="78" t="n"/>
      <c r="J6" s="78" t="n"/>
    </row>
    <row r="7" ht="15" customHeight="1" s="49">
      <c r="A7" s="65" t="n"/>
      <c r="B7" s="65" t="n"/>
      <c r="C7" s="76" t="n"/>
      <c r="D7" s="65" t="n"/>
      <c r="E7" s="65" t="n"/>
      <c r="F7" s="77" t="n"/>
      <c r="G7" s="77" t="n"/>
      <c r="H7" s="77" t="n"/>
      <c r="I7" s="65" t="n"/>
      <c r="J7" s="65" t="n"/>
    </row>
    <row r="8" ht="15" customHeight="1" s="49">
      <c r="A8" s="78" t="n"/>
      <c r="B8" s="78" t="n"/>
      <c r="C8" s="79" t="n"/>
      <c r="D8" s="78" t="n"/>
      <c r="E8" s="78" t="n"/>
      <c r="F8" s="80" t="n"/>
      <c r="G8" s="80" t="n"/>
      <c r="H8" s="80" t="n"/>
      <c r="I8" s="78" t="n"/>
      <c r="J8" s="78" t="n"/>
    </row>
    <row r="9" ht="15" customHeight="1" s="49">
      <c r="A9" s="65" t="n"/>
      <c r="B9" s="65" t="n"/>
      <c r="C9" s="76" t="n"/>
      <c r="D9" s="65" t="n"/>
      <c r="E9" s="65" t="n"/>
      <c r="F9" s="77" t="n"/>
      <c r="G9" s="77" t="n"/>
      <c r="H9" s="77" t="n"/>
      <c r="I9" s="65" t="n"/>
      <c r="J9" s="65" t="n"/>
    </row>
    <row r="10" ht="15" customHeight="1" s="49">
      <c r="A10" s="78" t="n"/>
      <c r="B10" s="78" t="n"/>
      <c r="C10" s="79" t="n"/>
      <c r="D10" s="78" t="n"/>
      <c r="E10" s="78" t="n"/>
      <c r="F10" s="80" t="n"/>
      <c r="G10" s="80" t="n"/>
      <c r="H10" s="80" t="n"/>
      <c r="I10" s="78" t="n"/>
      <c r="J10" s="78" t="n"/>
    </row>
    <row r="11" ht="15" customHeight="1" s="49">
      <c r="A11" s="65" t="n"/>
      <c r="B11" s="65" t="n"/>
      <c r="C11" s="76" t="n"/>
      <c r="D11" s="65" t="n"/>
      <c r="E11" s="65" t="n"/>
      <c r="F11" s="77" t="n"/>
      <c r="G11" s="77" t="n"/>
      <c r="H11" s="77" t="n"/>
      <c r="I11" s="65" t="n"/>
      <c r="J11" s="65" t="n"/>
    </row>
    <row r="12" ht="15" customHeight="1" s="49">
      <c r="A12" s="78" t="n"/>
      <c r="B12" s="78" t="n"/>
      <c r="C12" s="79" t="n"/>
      <c r="D12" s="78" t="n"/>
      <c r="E12" s="78" t="n"/>
      <c r="F12" s="80" t="n"/>
      <c r="G12" s="80" t="n"/>
      <c r="H12" s="80" t="n"/>
      <c r="I12" s="78" t="n"/>
      <c r="J12" s="78" t="n"/>
    </row>
    <row r="13" ht="15" customHeight="1" s="49">
      <c r="A13" s="65" t="n"/>
      <c r="B13" s="65" t="n"/>
      <c r="C13" s="76" t="n"/>
      <c r="D13" s="65" t="n"/>
      <c r="E13" s="65" t="n"/>
      <c r="F13" s="77" t="n"/>
      <c r="G13" s="77" t="n"/>
      <c r="H13" s="77" t="n"/>
      <c r="I13" s="65" t="n"/>
      <c r="J13" s="65" t="n"/>
    </row>
    <row r="14" ht="15" customHeight="1" s="49">
      <c r="A14" s="78" t="n"/>
      <c r="B14" s="78" t="n"/>
      <c r="C14" s="79" t="n"/>
      <c r="D14" s="78" t="n"/>
      <c r="E14" s="78" t="n"/>
      <c r="F14" s="80" t="n"/>
      <c r="G14" s="80" t="n"/>
      <c r="H14" s="80" t="n"/>
      <c r="I14" s="78" t="n"/>
      <c r="J14" s="78" t="n"/>
    </row>
    <row r="15" ht="15" customHeight="1" s="49">
      <c r="A15" s="65" t="n"/>
      <c r="B15" s="65" t="n"/>
      <c r="C15" s="76" t="n"/>
      <c r="D15" s="65" t="n"/>
      <c r="E15" s="65" t="n"/>
      <c r="F15" s="77" t="n"/>
      <c r="G15" s="77" t="n"/>
      <c r="H15" s="77" t="n"/>
      <c r="I15" s="65" t="n"/>
      <c r="J15" s="65" t="n"/>
    </row>
    <row r="16" ht="15" customHeight="1" s="49">
      <c r="A16" s="78" t="n"/>
      <c r="B16" s="78" t="n"/>
      <c r="C16" s="79" t="n"/>
      <c r="D16" s="78" t="n"/>
      <c r="E16" s="78" t="n"/>
      <c r="F16" s="80" t="n"/>
      <c r="G16" s="80" t="n"/>
      <c r="H16" s="80" t="n"/>
      <c r="I16" s="78" t="n"/>
      <c r="J16" s="78" t="n"/>
    </row>
    <row r="17" ht="15" customHeight="1" s="49">
      <c r="A17" s="65" t="n"/>
      <c r="B17" s="65" t="n"/>
      <c r="C17" s="76" t="n"/>
      <c r="D17" s="65" t="n"/>
      <c r="E17" s="65" t="n"/>
      <c r="F17" s="77" t="n"/>
      <c r="G17" s="77" t="n"/>
      <c r="H17" s="77" t="n"/>
      <c r="I17" s="65" t="n"/>
      <c r="J17" s="65" t="n"/>
    </row>
    <row r="18" ht="15" customHeight="1" s="49">
      <c r="A18" s="78" t="n"/>
      <c r="B18" s="78" t="n"/>
      <c r="C18" s="79" t="n"/>
      <c r="D18" s="78" t="n"/>
      <c r="E18" s="78" t="n"/>
      <c r="F18" s="80" t="n"/>
      <c r="G18" s="80" t="n"/>
      <c r="H18" s="80" t="n"/>
      <c r="I18" s="78" t="n"/>
      <c r="J18" s="78" t="n"/>
    </row>
    <row r="19" ht="15" customHeight="1" s="49">
      <c r="A19" s="65" t="n"/>
      <c r="B19" s="65" t="n"/>
      <c r="C19" s="76" t="n"/>
      <c r="D19" s="65" t="n"/>
      <c r="E19" s="65" t="n"/>
      <c r="F19" s="77" t="n"/>
      <c r="G19" s="77" t="n"/>
      <c r="H19" s="77" t="n"/>
      <c r="I19" s="65" t="n"/>
      <c r="J19" s="65" t="n"/>
    </row>
    <row r="20" ht="15" customHeight="1" s="49">
      <c r="A20" s="78" t="n"/>
      <c r="B20" s="78" t="n"/>
      <c r="C20" s="79" t="n"/>
      <c r="D20" s="78" t="n"/>
      <c r="E20" s="78" t="n"/>
      <c r="F20" s="80" t="n"/>
      <c r="G20" s="80" t="n"/>
      <c r="H20" s="80" t="n"/>
      <c r="I20" s="78" t="n"/>
      <c r="J20" s="78" t="n"/>
    </row>
    <row r="21" ht="15" customHeight="1" s="49">
      <c r="A21" s="65" t="n"/>
      <c r="B21" s="65" t="n"/>
      <c r="C21" s="76" t="n"/>
      <c r="D21" s="65" t="n"/>
      <c r="E21" s="65" t="n"/>
      <c r="F21" s="77" t="n"/>
      <c r="G21" s="77" t="n"/>
      <c r="H21" s="77" t="n"/>
      <c r="I21" s="65" t="n"/>
      <c r="J21" s="65" t="n"/>
    </row>
    <row r="22" ht="15" customHeight="1" s="49">
      <c r="A22" s="78" t="n"/>
      <c r="B22" s="78" t="n"/>
      <c r="C22" s="79" t="n"/>
      <c r="D22" s="78" t="n"/>
      <c r="E22" s="78" t="n"/>
      <c r="F22" s="80" t="n"/>
      <c r="G22" s="80" t="n"/>
      <c r="H22" s="80" t="n"/>
      <c r="I22" s="78" t="n"/>
      <c r="J22" s="78" t="n"/>
    </row>
    <row r="23" ht="15" customHeight="1" s="49">
      <c r="A23" s="65" t="n"/>
      <c r="B23" s="65" t="n"/>
      <c r="C23" s="76" t="n"/>
      <c r="D23" s="65" t="n"/>
      <c r="E23" s="65" t="n"/>
      <c r="F23" s="77" t="n"/>
      <c r="G23" s="77" t="n"/>
      <c r="H23" s="77" t="n"/>
      <c r="I23" s="65" t="n"/>
      <c r="J23" s="65" t="n"/>
    </row>
    <row r="24" ht="15" customHeight="1" s="49">
      <c r="A24" s="78" t="n"/>
      <c r="B24" s="78" t="n"/>
      <c r="C24" s="79" t="n"/>
      <c r="D24" s="78" t="n"/>
      <c r="E24" s="78" t="n"/>
      <c r="F24" s="80" t="n"/>
      <c r="G24" s="80" t="n"/>
      <c r="H24" s="80" t="n"/>
      <c r="I24" s="78" t="n"/>
      <c r="J24" s="78" t="n"/>
    </row>
    <row r="25" ht="15" customHeight="1" s="49">
      <c r="A25" s="65" t="n"/>
      <c r="B25" s="65" t="n"/>
      <c r="C25" s="76" t="n"/>
      <c r="D25" s="65" t="n"/>
      <c r="E25" s="65" t="n"/>
      <c r="F25" s="77" t="n"/>
      <c r="G25" s="77" t="n"/>
      <c r="H25" s="77" t="n"/>
      <c r="I25" s="65" t="n"/>
      <c r="J25" s="65" t="n"/>
    </row>
    <row r="26" ht="15" customHeight="1" s="49">
      <c r="A26" s="78" t="n"/>
      <c r="B26" s="78" t="n"/>
      <c r="C26" s="79" t="n"/>
      <c r="D26" s="78" t="n"/>
      <c r="E26" s="78" t="n"/>
      <c r="F26" s="80" t="n"/>
      <c r="G26" s="80" t="n"/>
      <c r="H26" s="80" t="n"/>
      <c r="I26" s="78" t="n"/>
      <c r="J26" s="78" t="n"/>
    </row>
    <row r="27" ht="15" customHeight="1" s="49">
      <c r="A27" s="65" t="n"/>
      <c r="B27" s="65" t="n"/>
      <c r="C27" s="76" t="n"/>
      <c r="D27" s="65" t="n"/>
      <c r="E27" s="65" t="n"/>
      <c r="F27" s="77" t="n"/>
      <c r="G27" s="77" t="n"/>
      <c r="H27" s="77" t="n"/>
      <c r="I27" s="65" t="n"/>
      <c r="J27" s="65" t="n"/>
    </row>
    <row r="28" ht="15" customHeight="1" s="49">
      <c r="A28" s="78" t="n"/>
      <c r="B28" s="78" t="n"/>
      <c r="C28" s="79" t="n"/>
      <c r="D28" s="78" t="n"/>
      <c r="E28" s="78" t="n"/>
      <c r="F28" s="80" t="n"/>
      <c r="G28" s="80" t="n"/>
      <c r="H28" s="80" t="n"/>
      <c r="I28" s="78" t="n"/>
      <c r="J28" s="78" t="n"/>
    </row>
    <row r="29" ht="15" customHeight="1" s="49">
      <c r="A29" s="65" t="n"/>
      <c r="B29" s="65" t="n"/>
      <c r="C29" s="76" t="n"/>
      <c r="D29" s="65" t="n"/>
      <c r="E29" s="65" t="n"/>
      <c r="F29" s="77" t="n"/>
      <c r="G29" s="77" t="n"/>
      <c r="H29" s="77" t="n"/>
      <c r="I29" s="65" t="n"/>
      <c r="J29" s="65" t="n"/>
    </row>
    <row r="30" ht="15" customHeight="1" s="49">
      <c r="A30" s="78" t="n"/>
      <c r="B30" s="78" t="n"/>
      <c r="C30" s="79" t="n"/>
      <c r="D30" s="78" t="n"/>
      <c r="E30" s="78" t="n"/>
      <c r="F30" s="80" t="n"/>
      <c r="G30" s="80" t="n"/>
      <c r="H30" s="80" t="n"/>
      <c r="I30" s="78" t="n"/>
      <c r="J30" s="78" t="n"/>
    </row>
    <row r="31" ht="15" customHeight="1" s="49">
      <c r="A31" s="65" t="n"/>
      <c r="B31" s="65" t="n"/>
      <c r="C31" s="76" t="n"/>
      <c r="D31" s="65" t="n"/>
      <c r="E31" s="65" t="n"/>
      <c r="F31" s="77" t="n"/>
      <c r="G31" s="77" t="n"/>
      <c r="H31" s="77" t="n"/>
      <c r="I31" s="65" t="n"/>
      <c r="J31" s="65" t="n"/>
    </row>
    <row r="32" ht="15" customHeight="1" s="49">
      <c r="A32" s="78" t="n"/>
      <c r="B32" s="78" t="n"/>
      <c r="C32" s="79" t="n"/>
      <c r="D32" s="78" t="n"/>
      <c r="E32" s="78" t="n"/>
      <c r="F32" s="80" t="n"/>
      <c r="G32" s="80" t="n"/>
      <c r="H32" s="80" t="n"/>
      <c r="I32" s="78" t="n"/>
      <c r="J32" s="78" t="n"/>
    </row>
    <row r="33" ht="15" customHeight="1" s="49">
      <c r="A33" s="65" t="n"/>
      <c r="B33" s="65" t="n"/>
      <c r="C33" s="76" t="n"/>
      <c r="D33" s="65" t="n"/>
      <c r="E33" s="65" t="n"/>
      <c r="F33" s="77" t="n"/>
      <c r="G33" s="77" t="n"/>
      <c r="H33" s="77" t="n"/>
      <c r="I33" s="65" t="n"/>
      <c r="J33" s="65" t="n"/>
    </row>
    <row r="34" ht="15" customHeight="1" s="49">
      <c r="A34" s="78" t="n"/>
      <c r="B34" s="78" t="n"/>
      <c r="C34" s="79" t="n"/>
      <c r="D34" s="78" t="n"/>
      <c r="E34" s="78" t="n"/>
      <c r="F34" s="80" t="n"/>
      <c r="G34" s="80" t="n"/>
      <c r="H34" s="80" t="n"/>
      <c r="I34" s="78" t="n"/>
      <c r="J34" s="78" t="n"/>
    </row>
    <row r="35" ht="15" customHeight="1" s="49">
      <c r="A35" s="65" t="n"/>
      <c r="B35" s="65" t="n"/>
      <c r="C35" s="76" t="n"/>
      <c r="D35" s="65" t="n"/>
      <c r="E35" s="65" t="n"/>
      <c r="F35" s="77" t="n"/>
      <c r="G35" s="77" t="n"/>
      <c r="H35" s="77" t="n"/>
      <c r="I35" s="65" t="n"/>
      <c r="J35" s="65" t="n"/>
    </row>
    <row r="36" ht="15" customHeight="1" s="49">
      <c r="A36" s="78" t="n"/>
      <c r="B36" s="78" t="n"/>
      <c r="C36" s="79" t="n"/>
      <c r="D36" s="78" t="n"/>
      <c r="E36" s="78" t="n"/>
      <c r="F36" s="80" t="n"/>
      <c r="G36" s="80" t="n"/>
      <c r="H36" s="80" t="n"/>
      <c r="I36" s="78" t="n"/>
      <c r="J36" s="78" t="n"/>
    </row>
    <row r="37" ht="15" customHeight="1" s="49">
      <c r="A37" s="65" t="n"/>
      <c r="B37" s="65" t="n"/>
      <c r="C37" s="76" t="n"/>
      <c r="D37" s="65" t="n"/>
      <c r="E37" s="65" t="n"/>
      <c r="F37" s="77" t="n"/>
      <c r="G37" s="77" t="n"/>
      <c r="H37" s="77" t="n"/>
      <c r="I37" s="65" t="n"/>
      <c r="J37" s="65" t="n"/>
    </row>
    <row r="38" ht="15" customHeight="1" s="49">
      <c r="A38" s="78" t="n"/>
      <c r="B38" s="78" t="n"/>
      <c r="C38" s="79" t="n"/>
      <c r="D38" s="78" t="n"/>
      <c r="E38" s="78" t="n"/>
      <c r="F38" s="80" t="n"/>
      <c r="G38" s="80" t="n"/>
      <c r="H38" s="80" t="n"/>
      <c r="I38" s="78" t="n"/>
      <c r="J38" s="78" t="n"/>
    </row>
    <row r="39" ht="15" customHeight="1" s="49">
      <c r="A39" s="65" t="n"/>
      <c r="B39" s="65" t="n"/>
      <c r="C39" s="76" t="n"/>
      <c r="D39" s="65" t="n"/>
      <c r="E39" s="65" t="n"/>
      <c r="F39" s="77" t="n"/>
      <c r="G39" s="77" t="n"/>
      <c r="H39" s="77" t="n"/>
      <c r="I39" s="65" t="n"/>
      <c r="J39" s="65" t="n"/>
    </row>
    <row r="40" ht="15" customHeight="1" s="49">
      <c r="A40" s="78" t="n"/>
      <c r="B40" s="78" t="n"/>
      <c r="C40" s="79" t="n"/>
      <c r="D40" s="78" t="n"/>
      <c r="E40" s="78" t="n"/>
      <c r="F40" s="80" t="n"/>
      <c r="G40" s="80" t="n"/>
      <c r="H40" s="80" t="n"/>
      <c r="I40" s="78" t="n"/>
      <c r="J40" s="78" t="n"/>
    </row>
    <row r="41" ht="15" customHeight="1" s="49">
      <c r="A41" s="65" t="n"/>
      <c r="B41" s="65" t="n"/>
      <c r="C41" s="76" t="n"/>
      <c r="D41" s="65" t="n"/>
      <c r="E41" s="65" t="n"/>
      <c r="F41" s="77" t="n"/>
      <c r="G41" s="77" t="n"/>
      <c r="H41" s="77" t="n"/>
      <c r="I41" s="65" t="n"/>
      <c r="J41" s="65" t="n"/>
    </row>
    <row r="42" ht="15" customHeight="1" s="49">
      <c r="A42" s="78" t="n"/>
      <c r="B42" s="78" t="n"/>
      <c r="C42" s="79" t="n"/>
      <c r="D42" s="78" t="n"/>
      <c r="E42" s="78" t="n"/>
      <c r="F42" s="80" t="n"/>
      <c r="G42" s="80" t="n"/>
      <c r="H42" s="80" t="n"/>
      <c r="I42" s="78" t="n"/>
      <c r="J42" s="78" t="n"/>
    </row>
    <row r="43" ht="15" customHeight="1" s="49">
      <c r="A43" s="65" t="n"/>
      <c r="B43" s="65" t="n"/>
      <c r="C43" s="76" t="n"/>
      <c r="D43" s="65" t="n"/>
      <c r="E43" s="65" t="n"/>
      <c r="F43" s="77" t="n"/>
      <c r="G43" s="77" t="n"/>
      <c r="H43" s="77" t="n"/>
      <c r="I43" s="65" t="n"/>
      <c r="J43" s="65" t="n"/>
    </row>
    <row r="44" ht="15" customHeight="1" s="49">
      <c r="A44" s="78" t="n"/>
      <c r="B44" s="78" t="n"/>
      <c r="C44" s="79" t="n"/>
      <c r="D44" s="78" t="n"/>
      <c r="E44" s="78" t="n"/>
      <c r="F44" s="80" t="n"/>
      <c r="G44" s="80" t="n"/>
      <c r="H44" s="80" t="n"/>
      <c r="I44" s="78" t="n"/>
      <c r="J44" s="78" t="n"/>
    </row>
    <row r="45" ht="15" customHeight="1" s="49">
      <c r="A45" s="65" t="n"/>
      <c r="B45" s="65" t="n"/>
      <c r="C45" s="76" t="n"/>
      <c r="D45" s="65" t="n"/>
      <c r="E45" s="65" t="n"/>
      <c r="F45" s="77" t="n"/>
      <c r="G45" s="77" t="n"/>
      <c r="H45" s="77" t="n"/>
      <c r="I45" s="65" t="n"/>
      <c r="J45" s="65" t="n"/>
    </row>
    <row r="46" ht="15" customHeight="1" s="49">
      <c r="A46" s="78" t="n"/>
      <c r="B46" s="78" t="n"/>
      <c r="C46" s="79" t="n"/>
      <c r="D46" s="78" t="n"/>
      <c r="E46" s="78" t="n"/>
      <c r="F46" s="80" t="n"/>
      <c r="G46" s="80" t="n"/>
      <c r="H46" s="80" t="n"/>
      <c r="I46" s="78" t="n"/>
      <c r="J46" s="78" t="n"/>
    </row>
    <row r="47" ht="15" customHeight="1" s="49">
      <c r="A47" s="65" t="n"/>
      <c r="B47" s="65" t="n"/>
      <c r="C47" s="76" t="n"/>
      <c r="D47" s="65" t="n"/>
      <c r="E47" s="65" t="n"/>
      <c r="F47" s="77" t="n"/>
      <c r="G47" s="77" t="n"/>
      <c r="H47" s="77" t="n"/>
      <c r="I47" s="65" t="n"/>
      <c r="J47" s="65" t="n"/>
    </row>
    <row r="48" ht="15" customHeight="1" s="49">
      <c r="A48" s="78" t="n"/>
      <c r="B48" s="78" t="n"/>
      <c r="C48" s="79" t="n"/>
      <c r="D48" s="78" t="n"/>
      <c r="E48" s="78" t="n"/>
      <c r="F48" s="80" t="n"/>
      <c r="G48" s="80" t="n"/>
      <c r="H48" s="80" t="n"/>
      <c r="I48" s="78" t="n"/>
      <c r="J48" s="78" t="n"/>
    </row>
    <row r="49" ht="15" customHeight="1" s="49">
      <c r="A49" s="65" t="n"/>
      <c r="B49" s="65" t="n"/>
      <c r="C49" s="76" t="n"/>
      <c r="D49" s="65" t="n"/>
      <c r="E49" s="65" t="n"/>
      <c r="F49" s="77" t="n"/>
      <c r="G49" s="77" t="n"/>
      <c r="H49" s="77" t="n"/>
      <c r="I49" s="65" t="n"/>
      <c r="J49" s="65" t="n"/>
    </row>
    <row r="50" ht="15" customHeight="1" s="49">
      <c r="A50" s="78" t="n"/>
      <c r="B50" s="78" t="n"/>
      <c r="C50" s="79" t="n"/>
      <c r="D50" s="78" t="n"/>
      <c r="E50" s="78" t="n"/>
      <c r="F50" s="80" t="n"/>
      <c r="G50" s="80" t="n"/>
      <c r="H50" s="80" t="n"/>
      <c r="I50" s="78" t="n"/>
      <c r="J50" s="78" t="n"/>
    </row>
    <row r="51" ht="15" customHeight="1" s="49">
      <c r="A51" s="65" t="n"/>
      <c r="B51" s="65" t="n"/>
      <c r="C51" s="76" t="n"/>
      <c r="D51" s="65" t="n"/>
      <c r="E51" s="65" t="n"/>
      <c r="F51" s="77" t="n"/>
      <c r="G51" s="77" t="n"/>
      <c r="H51" s="77" t="n"/>
      <c r="I51" s="65" t="n"/>
      <c r="J51" s="65" t="n"/>
    </row>
    <row r="52" ht="15" customHeight="1" s="49">
      <c r="A52" s="78" t="n"/>
      <c r="B52" s="78" t="n"/>
      <c r="C52" s="79" t="n"/>
      <c r="D52" s="78" t="n"/>
      <c r="E52" s="78" t="n"/>
      <c r="F52" s="80" t="n"/>
      <c r="G52" s="80" t="n"/>
      <c r="H52" s="80" t="n"/>
      <c r="I52" s="78" t="n"/>
      <c r="J52" s="78" t="n"/>
    </row>
    <row r="53" ht="15" customHeight="1" s="49">
      <c r="A53" s="65" t="n"/>
      <c r="B53" s="65" t="n"/>
      <c r="C53" s="76" t="n"/>
      <c r="D53" s="65" t="n"/>
      <c r="E53" s="65" t="n"/>
      <c r="F53" s="77" t="n"/>
      <c r="G53" s="77" t="n"/>
      <c r="H53" s="77" t="n"/>
      <c r="I53" s="65" t="n"/>
      <c r="J53" s="65" t="n"/>
    </row>
    <row r="54" ht="15" customHeight="1" s="49">
      <c r="A54" s="78" t="n"/>
      <c r="B54" s="78" t="n"/>
      <c r="C54" s="79" t="n"/>
      <c r="D54" s="78" t="n"/>
      <c r="E54" s="78" t="n"/>
      <c r="F54" s="80" t="n"/>
      <c r="G54" s="80" t="n"/>
      <c r="H54" s="80" t="n"/>
      <c r="I54" s="78" t="n"/>
      <c r="J54" s="78" t="n"/>
    </row>
  </sheetData>
  <mergeCells count="2">
    <mergeCell ref="A1:J1"/>
    <mergeCell ref="A2:J2"/>
  </mergeCells>
  <dataValidations count="3">
    <dataValidation sqref="E5:E54" showDropDown="0" showInputMessage="0" showErrorMessage="0" allowBlank="0" type="list" errorStyle="stop" operator="between">
      <formula1>"Yok,Uydurma Parça,Yanlış Teşhis,Protokol Dışı,Dil Karışımı,Diğer"</formula1>
      <formula2>0</formula2>
    </dataValidation>
    <dataValidation sqref="I5:I54" showDropDown="0" showInputMessage="0" showErrorMessage="0" allowBlank="0" type="list" errorStyle="stop" operator="between">
      <formula1>"Giriş Filtresi,Prompt Hardening,Çıkış Filtresi,Tespit Edilemedi"</formula1>
      <formula2>0</formula2>
    </dataValidation>
    <dataValidation sqref="J5:J54" showDropDown="0" showInputMessage="0" showErrorMessage="0" allowBlank="0" type="list" errorStyle="stop" operator="between">
      <formula1>"İnceleniyor,Prompt Güncellendi,Lambda Güncellendi,Kapatıldı,Yok Sayıldı"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8" min="1" max="14"/>
  </cols>
  <sheetData>
    <row r="1" ht="31.5" customHeight="1" s="49">
      <c r="A1" s="81" t="inlineStr">
        <is>
          <t>AutoFix AI — Test Dashboard</t>
        </is>
      </c>
    </row>
    <row r="2" ht="15" customHeight="1" s="49">
      <c r="A2" s="51" t="inlineStr">
        <is>
          <t>Senaryo Analizi ve Test Log sayfalarından otomatik güncellenir</t>
        </is>
      </c>
    </row>
    <row r="4" ht="21.75" customHeight="1" s="49">
      <c r="B4" s="52" t="inlineStr">
        <is>
          <t>Toplam Test</t>
        </is>
      </c>
      <c r="D4" s="52" t="inlineStr">
        <is>
          <t>PASS</t>
        </is>
      </c>
      <c r="F4" s="52" t="inlineStr">
        <is>
          <t>FAIL</t>
        </is>
      </c>
      <c r="H4" s="52" t="inlineStr">
        <is>
          <t>PARTIAL</t>
        </is>
      </c>
      <c r="J4" s="52" t="inlineStr">
        <is>
          <t>Başarı Oranı</t>
        </is>
      </c>
      <c r="L4" s="52" t="inlineStr">
        <is>
          <t>Halüsinasyon</t>
        </is>
      </c>
      <c r="N4" s="52" t="inlineStr">
        <is>
          <t>Hal. Oranı</t>
        </is>
      </c>
    </row>
    <row r="5" ht="37.5" customHeight="1" s="49">
      <c r="B5" s="82">
        <f>COUNTA('Test Log'!B5:B54)</f>
        <v/>
      </c>
      <c r="D5" s="83">
        <f>COUNTIF('Test Log'!H5:H54,"PASS")</f>
        <v/>
      </c>
      <c r="F5" s="84">
        <f>COUNTIF('Test Log'!H5:H54,"FAIL")</f>
        <v/>
      </c>
      <c r="H5" s="85">
        <f>COUNTIF('Test Log'!H5:H54,"PARTIAL")</f>
        <v/>
      </c>
      <c r="J5" s="86">
        <f>IFERROR(COUNTIF('Test Log'!H5:H54,"PASS")/COUNTA('Test Log'!H5:H54),0)</f>
        <v/>
      </c>
      <c r="L5" s="87">
        <f>COUNTIF('Test Log'!K5:K54,"Evet")</f>
        <v/>
      </c>
      <c r="N5" s="88">
        <f>IFERROR(COUNTIF('Test Log'!K5:K54,"Evet")/COUNTA('Test Log'!B5:B54),0)</f>
        <v/>
      </c>
    </row>
    <row r="6" ht="13.5" customHeight="1" s="49"/>
    <row r="7" ht="15" customHeight="1" s="49">
      <c r="B7" s="89" t="inlineStr">
        <is>
          <t>Senaryo Başarı Oranları</t>
        </is>
      </c>
      <c r="J7" s="90" t="inlineStr">
        <is>
          <t>Halüsinasyon Tip Dağılımı</t>
        </is>
      </c>
    </row>
    <row r="8" ht="15" customHeight="1" s="49">
      <c r="B8" s="91" t="inlineStr">
        <is>
          <t>Senaryo ID</t>
        </is>
      </c>
      <c r="C8" s="91" t="inlineStr">
        <is>
          <t>Senaryo Adı</t>
        </is>
      </c>
      <c r="D8" s="91" t="inlineStr">
        <is>
          <t>Test</t>
        </is>
      </c>
      <c r="E8" s="91" t="inlineStr">
        <is>
          <t>PASS</t>
        </is>
      </c>
      <c r="F8" s="91" t="inlineStr">
        <is>
          <t>Başarı %</t>
        </is>
      </c>
      <c r="G8" s="91" t="inlineStr">
        <is>
          <t>Halüsinasyon</t>
        </is>
      </c>
      <c r="H8" s="91" t="inlineStr">
        <is>
          <t>Risk</t>
        </is>
      </c>
      <c r="J8" s="92" t="inlineStr">
        <is>
          <t>Tip</t>
        </is>
      </c>
      <c r="K8" s="92" t="inlineStr">
        <is>
          <t>Adet</t>
        </is>
      </c>
    </row>
    <row r="9" ht="15" customHeight="1" s="49">
      <c r="B9" s="70">
        <f>'Senaryo Analizi'!A5</f>
        <v/>
      </c>
      <c r="C9" s="69">
        <f>'Senaryo Analizi'!B5</f>
        <v/>
      </c>
      <c r="D9" s="70">
        <f>'Senaryo Analizi'!D5</f>
        <v/>
      </c>
      <c r="E9" s="70">
        <f>'Senaryo Analizi'!E5</f>
        <v/>
      </c>
      <c r="F9" s="71">
        <f>'Senaryo Analizi'!H5</f>
        <v/>
      </c>
      <c r="G9" s="70">
        <f>'Senaryo Analizi'!J5</f>
        <v/>
      </c>
      <c r="H9" s="70">
        <f>'Senaryo Analizi'!L5</f>
        <v/>
      </c>
      <c r="J9" s="64" t="inlineStr">
        <is>
          <t>Uydurma Parça</t>
        </is>
      </c>
      <c r="K9" s="93">
        <f>COUNTIF('Test Log'!L$5:L$54,J9)</f>
        <v/>
      </c>
    </row>
    <row r="10" ht="15" customHeight="1" s="49">
      <c r="B10" s="65">
        <f>'Senaryo Analizi'!A6</f>
        <v/>
      </c>
      <c r="C10" s="64">
        <f>'Senaryo Analizi'!B6</f>
        <v/>
      </c>
      <c r="D10" s="65">
        <f>'Senaryo Analizi'!D6</f>
        <v/>
      </c>
      <c r="E10" s="65">
        <f>'Senaryo Analizi'!E6</f>
        <v/>
      </c>
      <c r="F10" s="66">
        <f>'Senaryo Analizi'!H6</f>
        <v/>
      </c>
      <c r="G10" s="65">
        <f>'Senaryo Analizi'!J6</f>
        <v/>
      </c>
      <c r="H10" s="65">
        <f>'Senaryo Analizi'!L6</f>
        <v/>
      </c>
      <c r="J10" s="69" t="inlineStr">
        <is>
          <t>Yanlış Teşhis</t>
        </is>
      </c>
      <c r="K10" s="94">
        <f>COUNTIF('Test Log'!L$5:L$54,J10)</f>
        <v/>
      </c>
    </row>
    <row r="11" ht="15" customHeight="1" s="49">
      <c r="B11" s="70">
        <f>'Senaryo Analizi'!A7</f>
        <v/>
      </c>
      <c r="C11" s="69">
        <f>'Senaryo Analizi'!B7</f>
        <v/>
      </c>
      <c r="D11" s="70">
        <f>'Senaryo Analizi'!D7</f>
        <v/>
      </c>
      <c r="E11" s="70">
        <f>'Senaryo Analizi'!E7</f>
        <v/>
      </c>
      <c r="F11" s="71">
        <f>'Senaryo Analizi'!H7</f>
        <v/>
      </c>
      <c r="G11" s="70">
        <f>'Senaryo Analizi'!J7</f>
        <v/>
      </c>
      <c r="H11" s="70">
        <f>'Senaryo Analizi'!L7</f>
        <v/>
      </c>
      <c r="J11" s="64" t="inlineStr">
        <is>
          <t>Protokol Dışı</t>
        </is>
      </c>
      <c r="K11" s="93">
        <f>COUNTIF('Test Log'!L$5:L$54,J11)</f>
        <v/>
      </c>
    </row>
    <row r="12" ht="15" customHeight="1" s="49">
      <c r="B12" s="65">
        <f>'Senaryo Analizi'!A8</f>
        <v/>
      </c>
      <c r="C12" s="64">
        <f>'Senaryo Analizi'!B8</f>
        <v/>
      </c>
      <c r="D12" s="65">
        <f>'Senaryo Analizi'!D8</f>
        <v/>
      </c>
      <c r="E12" s="65">
        <f>'Senaryo Analizi'!E8</f>
        <v/>
      </c>
      <c r="F12" s="66">
        <f>'Senaryo Analizi'!H8</f>
        <v/>
      </c>
      <c r="G12" s="65">
        <f>'Senaryo Analizi'!J8</f>
        <v/>
      </c>
      <c r="H12" s="65">
        <f>'Senaryo Analizi'!L8</f>
        <v/>
      </c>
      <c r="J12" s="69" t="inlineStr">
        <is>
          <t>Dil Karışımı</t>
        </is>
      </c>
      <c r="K12" s="94">
        <f>COUNTIF('Test Log'!L$5:L$54,J12)</f>
        <v/>
      </c>
    </row>
    <row r="13" ht="15" customHeight="1" s="49">
      <c r="B13" s="70">
        <f>'Senaryo Analizi'!A9</f>
        <v/>
      </c>
      <c r="C13" s="69">
        <f>'Senaryo Analizi'!B9</f>
        <v/>
      </c>
      <c r="D13" s="70">
        <f>'Senaryo Analizi'!D9</f>
        <v/>
      </c>
      <c r="E13" s="70">
        <f>'Senaryo Analizi'!E9</f>
        <v/>
      </c>
      <c r="F13" s="71">
        <f>'Senaryo Analizi'!H9</f>
        <v/>
      </c>
      <c r="G13" s="70">
        <f>'Senaryo Analizi'!J9</f>
        <v/>
      </c>
      <c r="H13" s="70">
        <f>'Senaryo Analizi'!L9</f>
        <v/>
      </c>
      <c r="J13" s="64" t="inlineStr">
        <is>
          <t>Diğer</t>
        </is>
      </c>
      <c r="K13" s="93">
        <f>COUNTIF('Test Log'!L$5:L$54,J13)</f>
        <v/>
      </c>
    </row>
    <row r="14" ht="15" customHeight="1" s="49">
      <c r="B14" s="65">
        <f>'Senaryo Analizi'!A10</f>
        <v/>
      </c>
      <c r="C14" s="64">
        <f>'Senaryo Analizi'!B10</f>
        <v/>
      </c>
      <c r="D14" s="65">
        <f>'Senaryo Analizi'!D10</f>
        <v/>
      </c>
      <c r="E14" s="65">
        <f>'Senaryo Analizi'!E10</f>
        <v/>
      </c>
      <c r="F14" s="66">
        <f>'Senaryo Analizi'!H10</f>
        <v/>
      </c>
      <c r="G14" s="65">
        <f>'Senaryo Analizi'!J10</f>
        <v/>
      </c>
      <c r="H14" s="65">
        <f>'Senaryo Analizi'!L10</f>
        <v/>
      </c>
    </row>
    <row r="15" ht="15" customHeight="1" s="49">
      <c r="B15" s="70">
        <f>'Senaryo Analizi'!A11</f>
        <v/>
      </c>
      <c r="C15" s="69">
        <f>'Senaryo Analizi'!B11</f>
        <v/>
      </c>
      <c r="D15" s="70">
        <f>'Senaryo Analizi'!D11</f>
        <v/>
      </c>
      <c r="E15" s="70">
        <f>'Senaryo Analizi'!E11</f>
        <v/>
      </c>
      <c r="F15" s="71">
        <f>'Senaryo Analizi'!H11</f>
        <v/>
      </c>
      <c r="G15" s="70">
        <f>'Senaryo Analizi'!J11</f>
        <v/>
      </c>
      <c r="H15" s="70">
        <f>'Senaryo Analizi'!L11</f>
        <v/>
      </c>
      <c r="J15" s="95" t="inlineStr">
        <is>
          <t>KULLANIM KILAVUZU
1. Test Log → Her test için bir satır doldur
2. Halüsinasyon varsa 'Evet' işaretle + tipi seç
3. Halüsinasyon Detay → Ayrıntılı kayıt gir
4. Dashboard otomatik güncellenir
5. 🚩 flagli satırlar öncelikli incelenmeli
Risk Seviyeleri:
🔴 Yüksek  → Hal. oranı &gt; %30
🟡 Orta    → Hal. oranı %10–30
🟢 Düşük   → Hal. oranı &lt; %10</t>
        </is>
      </c>
      <c r="K15" s="96" t="n"/>
      <c r="L15" s="96" t="n"/>
      <c r="M15" s="96" t="n"/>
      <c r="N15" s="96" t="n"/>
    </row>
    <row r="16" ht="15" customHeight="1" s="49">
      <c r="B16" s="65">
        <f>'Senaryo Analizi'!A12</f>
        <v/>
      </c>
      <c r="C16" s="64">
        <f>'Senaryo Analizi'!B12</f>
        <v/>
      </c>
      <c r="D16" s="65">
        <f>'Senaryo Analizi'!D12</f>
        <v/>
      </c>
      <c r="E16" s="65">
        <f>'Senaryo Analizi'!E12</f>
        <v/>
      </c>
      <c r="F16" s="66">
        <f>'Senaryo Analizi'!H12</f>
        <v/>
      </c>
      <c r="G16" s="65">
        <f>'Senaryo Analizi'!J12</f>
        <v/>
      </c>
      <c r="H16" s="65">
        <f>'Senaryo Analizi'!L12</f>
        <v/>
      </c>
      <c r="J16" s="97" t="n"/>
    </row>
    <row r="17" ht="15" customHeight="1" s="49">
      <c r="B17" s="70">
        <f>'Senaryo Analizi'!A13</f>
        <v/>
      </c>
      <c r="C17" s="69">
        <f>'Senaryo Analizi'!B13</f>
        <v/>
      </c>
      <c r="D17" s="70">
        <f>'Senaryo Analizi'!D13</f>
        <v/>
      </c>
      <c r="E17" s="70">
        <f>'Senaryo Analizi'!E13</f>
        <v/>
      </c>
      <c r="F17" s="71">
        <f>'Senaryo Analizi'!H13</f>
        <v/>
      </c>
      <c r="G17" s="70">
        <f>'Senaryo Analizi'!J13</f>
        <v/>
      </c>
      <c r="H17" s="70">
        <f>'Senaryo Analizi'!L13</f>
        <v/>
      </c>
      <c r="J17" s="97" t="n"/>
    </row>
    <row r="18" ht="15" customHeight="1" s="49">
      <c r="B18" s="65">
        <f>'Senaryo Analizi'!A14</f>
        <v/>
      </c>
      <c r="C18" s="64">
        <f>'Senaryo Analizi'!B14</f>
        <v/>
      </c>
      <c r="D18" s="65">
        <f>'Senaryo Analizi'!D14</f>
        <v/>
      </c>
      <c r="E18" s="65">
        <f>'Senaryo Analizi'!E14</f>
        <v/>
      </c>
      <c r="F18" s="66">
        <f>'Senaryo Analizi'!H14</f>
        <v/>
      </c>
      <c r="G18" s="65">
        <f>'Senaryo Analizi'!J14</f>
        <v/>
      </c>
      <c r="H18" s="65">
        <f>'Senaryo Analizi'!L14</f>
        <v/>
      </c>
      <c r="J18" s="97" t="n"/>
    </row>
    <row r="19" ht="15" customHeight="1" s="49">
      <c r="B19" s="70">
        <f>'Senaryo Analizi'!A15</f>
        <v/>
      </c>
      <c r="C19" s="69">
        <f>'Senaryo Analizi'!B15</f>
        <v/>
      </c>
      <c r="D19" s="70">
        <f>'Senaryo Analizi'!D15</f>
        <v/>
      </c>
      <c r="E19" s="70">
        <f>'Senaryo Analizi'!E15</f>
        <v/>
      </c>
      <c r="F19" s="71">
        <f>'Senaryo Analizi'!H15</f>
        <v/>
      </c>
      <c r="G19" s="70">
        <f>'Senaryo Analizi'!J15</f>
        <v/>
      </c>
      <c r="H19" s="70">
        <f>'Senaryo Analizi'!L15</f>
        <v/>
      </c>
      <c r="J19" s="97" t="n"/>
    </row>
    <row r="20" ht="15" customHeight="1" s="49">
      <c r="B20" s="65">
        <f>'Senaryo Analizi'!A16</f>
        <v/>
      </c>
      <c r="C20" s="64">
        <f>'Senaryo Analizi'!B16</f>
        <v/>
      </c>
      <c r="D20" s="65">
        <f>'Senaryo Analizi'!D16</f>
        <v/>
      </c>
      <c r="E20" s="65">
        <f>'Senaryo Analizi'!E16</f>
        <v/>
      </c>
      <c r="F20" s="66">
        <f>'Senaryo Analizi'!H16</f>
        <v/>
      </c>
      <c r="G20" s="65">
        <f>'Senaryo Analizi'!J16</f>
        <v/>
      </c>
      <c r="H20" s="65">
        <f>'Senaryo Analizi'!L16</f>
        <v/>
      </c>
      <c r="J20" s="97" t="n"/>
    </row>
    <row r="21" ht="15" customHeight="1" s="49">
      <c r="B21" s="70">
        <f>'Senaryo Analizi'!A17</f>
        <v/>
      </c>
      <c r="C21" s="69">
        <f>'Senaryo Analizi'!B17</f>
        <v/>
      </c>
      <c r="D21" s="70">
        <f>'Senaryo Analizi'!D17</f>
        <v/>
      </c>
      <c r="E21" s="70">
        <f>'Senaryo Analizi'!E17</f>
        <v/>
      </c>
      <c r="F21" s="71">
        <f>'Senaryo Analizi'!H17</f>
        <v/>
      </c>
      <c r="G21" s="70">
        <f>'Senaryo Analizi'!J17</f>
        <v/>
      </c>
      <c r="H21" s="70">
        <f>'Senaryo Analizi'!L17</f>
        <v/>
      </c>
      <c r="J21" s="97" t="n"/>
    </row>
    <row r="22" ht="11.9" customHeight="1" s="49">
      <c r="B22" s="65">
        <f>'Senaryo Analizi'!A18</f>
        <v/>
      </c>
      <c r="C22" s="64">
        <f>'Senaryo Analizi'!B18</f>
        <v/>
      </c>
      <c r="D22" s="65">
        <f>'Senaryo Analizi'!D18</f>
        <v/>
      </c>
      <c r="E22" s="65">
        <f>'Senaryo Analizi'!E18</f>
        <v/>
      </c>
      <c r="F22" s="66">
        <f>'Senaryo Analizi'!H18</f>
        <v/>
      </c>
      <c r="G22" s="65">
        <f>'Senaryo Analizi'!J18</f>
        <v/>
      </c>
      <c r="H22" s="65">
        <f>'Senaryo Analizi'!L18</f>
        <v/>
      </c>
      <c r="J22" s="97" t="n"/>
    </row>
    <row r="23" ht="15" customHeight="1" s="49">
      <c r="B23" s="70">
        <f>'Senaryo Analizi'!A19</f>
        <v/>
      </c>
      <c r="C23" s="69">
        <f>'Senaryo Analizi'!B19</f>
        <v/>
      </c>
      <c r="D23" s="70">
        <f>'Senaryo Analizi'!D19</f>
        <v/>
      </c>
      <c r="E23" s="70">
        <f>'Senaryo Analizi'!E19</f>
        <v/>
      </c>
      <c r="F23" s="71">
        <f>'Senaryo Analizi'!H19</f>
        <v/>
      </c>
      <c r="G23" s="70">
        <f>'Senaryo Analizi'!J19</f>
        <v/>
      </c>
      <c r="H23" s="70">
        <f>'Senaryo Analizi'!L19</f>
        <v/>
      </c>
    </row>
  </sheetData>
  <mergeCells count="5">
    <mergeCell ref="J7:N7"/>
    <mergeCell ref="A2:N2"/>
    <mergeCell ref="J15:N22"/>
    <mergeCell ref="B7:H7"/>
    <mergeCell ref="A1:N1"/>
  </mergeCells>
  <conditionalFormatting sqref="F9:F23">
    <cfRule type="colorScale" priority="2">
      <colorScale>
        <cfvo type="num" val="0"/>
        <cfvo type="num" val="0.5"/>
        <cfvo type="num" val="1"/>
        <color rgb="FFE74C3C"/>
        <color rgb="FFF39C12"/>
        <color rgb="FF27AE6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2026-05-06T08:49:56Z</dcterms:created>
  <dcterms:modified xsi:type="dcterms:W3CDTF">2026-05-06T09:31:48Z</dcterms:modified>
  <cp:revision>0</cp:revision>
</cp:coreProperties>
</file>