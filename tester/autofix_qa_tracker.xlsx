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Test Log" sheetId="1" state="visible" r:id="rId1"/>
    <sheet name="Senaryo Analizi" sheetId="2" state="visible" r:id="rId2"/>
    <sheet name="Halüsinasyon Detay" sheetId="3" state="visible" r:id="rId3"/>
    <sheet name="Dashboard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dd\.mm\.yyyy"/>
    <numFmt numFmtId="165" formatCode="0.0"/>
    <numFmt numFmtId="166" formatCode="0.0%"/>
  </numFmts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7F8C8D"/>
      <sz val="9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7F8C8D"/>
      <sz val="9"/>
    </font>
    <font>
      <name val="Arial"/>
      <charset val="1"/>
      <family val="0"/>
      <color rgb="FF2C3E50"/>
      <sz val="9"/>
    </font>
    <font>
      <name val="Arial"/>
      <charset val="1"/>
      <family val="0"/>
      <b val="1"/>
      <color rgb="FFE94560"/>
      <sz val="11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2C3E50"/>
      <sz val="9"/>
    </font>
    <font>
      <name val="Arial"/>
      <charset val="1"/>
      <family val="0"/>
      <b val="1"/>
      <color rgb="FFFFFFFF"/>
      <sz val="15"/>
    </font>
    <font>
      <name val="Arial"/>
      <charset val="1"/>
      <family val="0"/>
      <b val="1"/>
      <color rgb="FF2C3E50"/>
      <sz val="18"/>
    </font>
    <font>
      <name val="Arial"/>
      <charset val="1"/>
      <family val="0"/>
      <b val="1"/>
      <color rgb="FF27AE60"/>
      <sz val="18"/>
    </font>
    <font>
      <name val="Arial"/>
      <charset val="1"/>
      <family val="0"/>
      <b val="1"/>
      <color rgb="FFE74C3C"/>
      <sz val="18"/>
    </font>
    <font>
      <name val="Arial"/>
      <charset val="1"/>
      <family val="0"/>
      <b val="1"/>
      <color rgb="FFF39C12"/>
      <sz val="18"/>
    </font>
    <font>
      <name val="Arial"/>
      <charset val="1"/>
      <family val="0"/>
      <b val="1"/>
      <color rgb="FFE94560"/>
      <sz val="18"/>
    </font>
    <font>
      <name val="Arial"/>
      <charset val="1"/>
      <family val="0"/>
      <b val="1"/>
      <color rgb="FFFFFFFF"/>
      <sz val="11"/>
    </font>
  </fonts>
  <fills count="12">
    <fill>
      <patternFill/>
    </fill>
    <fill>
      <patternFill patternType="gray125"/>
    </fill>
    <fill>
      <patternFill patternType="solid">
        <fgColor rgb="FF0D1B2A"/>
        <bgColor rgb="FF16213E"/>
      </patternFill>
    </fill>
    <fill>
      <patternFill patternType="solid">
        <fgColor rgb="FFEBF5FB"/>
        <bgColor rgb="FFF2F4F7"/>
      </patternFill>
    </fill>
    <fill>
      <patternFill patternType="solid">
        <fgColor rgb="FF0F3460"/>
        <bgColor rgb="FF2C3E50"/>
      </patternFill>
    </fill>
    <fill>
      <patternFill patternType="solid">
        <fgColor rgb="FFFFFDE7"/>
        <bgColor rgb="FFFFFFFF"/>
      </patternFill>
    </fill>
    <fill>
      <patternFill patternType="solid">
        <fgColor rgb="FFFFFFFF"/>
        <bgColor rgb="FFFFFDE7"/>
      </patternFill>
    </fill>
    <fill>
      <patternFill patternType="solid">
        <fgColor rgb="FFF2F4F7"/>
        <bgColor rgb="FFEBF5FB"/>
      </patternFill>
    </fill>
    <fill>
      <patternFill patternType="solid">
        <fgColor rgb="FFE94560"/>
        <bgColor rgb="FFE74C3C"/>
      </patternFill>
    </fill>
    <fill>
      <patternFill patternType="solid">
        <fgColor rgb="FFFDEDEC"/>
        <bgColor rgb="FFF9EBEA"/>
      </patternFill>
    </fill>
    <fill>
      <patternFill patternType="solid">
        <fgColor rgb="FFF9EBEA"/>
        <bgColor rgb="FFFDEDEC"/>
      </patternFill>
    </fill>
    <fill>
      <patternFill patternType="solid">
        <fgColor rgb="FF16213E"/>
        <bgColor rgb="FF0D1B2A"/>
      </patternFill>
    </fill>
  </fills>
  <borders count="5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>
      <left style="thin">
        <color rgb="FFD5D8DC"/>
      </left>
      <right/>
      <top style="thin">
        <color rgb="FFD5D8DC"/>
      </top>
      <bottom/>
      <diagonal/>
    </border>
    <border>
      <left/>
      <right/>
      <top style="thin">
        <color rgb="FFD5D8DC"/>
      </top>
      <bottom/>
      <diagonal/>
    </border>
    <border>
      <left style="thin">
        <color rgb="FFD5D8DC"/>
      </left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8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wrapText="1"/>
    </xf>
    <xf numFmtId="1" fontId="8" fillId="5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wrapText="1"/>
    </xf>
    <xf numFmtId="165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166" fontId="8" fillId="6" borderId="1" applyAlignment="1" pivotButton="0" quotePrefix="0" xfId="0">
      <alignment horizontal="center" vertical="center"/>
    </xf>
    <xf numFmtId="165" fontId="8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166" fontId="8" fillId="7" borderId="1" applyAlignment="1" pivotButton="0" quotePrefix="0" xfId="0">
      <alignment horizontal="center" vertical="center"/>
    </xf>
    <xf numFmtId="165" fontId="8" fillId="7" borderId="1" applyAlignment="1" pivotButton="0" quotePrefix="0" xfId="0">
      <alignment horizontal="center" vertical="center"/>
    </xf>
    <xf numFmtId="0" fontId="10" fillId="8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/>
    </xf>
    <xf numFmtId="164" fontId="8" fillId="1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1" fontId="13" fillId="7" borderId="1" applyAlignment="1" pivotButton="0" quotePrefix="0" xfId="0">
      <alignment horizontal="center" vertical="center"/>
    </xf>
    <xf numFmtId="1" fontId="14" fillId="7" borderId="1" applyAlignment="1" pivotButton="0" quotePrefix="0" xfId="0">
      <alignment horizontal="center" vertical="center"/>
    </xf>
    <xf numFmtId="1" fontId="15" fillId="7" borderId="1" applyAlignment="1" pivotButton="0" quotePrefix="0" xfId="0">
      <alignment horizontal="center" vertical="center"/>
    </xf>
    <xf numFmtId="1" fontId="16" fillId="7" borderId="1" applyAlignment="1" pivotButton="0" quotePrefix="0" xfId="0">
      <alignment horizontal="center" vertical="center"/>
    </xf>
    <xf numFmtId="166" fontId="14" fillId="7" borderId="1" applyAlignment="1" pivotButton="0" quotePrefix="0" xfId="0">
      <alignment horizontal="center" vertical="center"/>
    </xf>
    <xf numFmtId="1" fontId="17" fillId="7" borderId="1" applyAlignment="1" pivotButton="0" quotePrefix="0" xfId="0">
      <alignment horizontal="center" vertical="center"/>
    </xf>
    <xf numFmtId="166" fontId="17" fillId="7" borderId="1" applyAlignment="1" pivotButton="0" quotePrefix="0" xfId="0">
      <alignment horizontal="center" vertical="center"/>
    </xf>
    <xf numFmtId="0" fontId="18" fillId="4" borderId="0" applyAlignment="1" pivotButton="0" quotePrefix="0" xfId="0">
      <alignment horizontal="center" vertical="center"/>
    </xf>
    <xf numFmtId="0" fontId="18" fillId="8" borderId="0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general" vertical="bottom"/>
    </xf>
    <xf numFmtId="0" fontId="9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8" fillId="3" borderId="2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wrapText="1"/>
    </xf>
    <xf numFmtId="1" fontId="8" fillId="5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wrapText="1"/>
    </xf>
    <xf numFmtId="165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166" fontId="8" fillId="6" borderId="1" applyAlignment="1" pivotButton="0" quotePrefix="0" xfId="0">
      <alignment horizontal="center" vertical="center"/>
    </xf>
    <xf numFmtId="165" fontId="8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166" fontId="8" fillId="7" borderId="1" applyAlignment="1" pivotButton="0" quotePrefix="0" xfId="0">
      <alignment horizontal="center" vertical="center"/>
    </xf>
    <xf numFmtId="165" fontId="8" fillId="7" borderId="1" applyAlignment="1" pivotButton="0" quotePrefix="0" xfId="0">
      <alignment horizontal="center" vertical="center"/>
    </xf>
    <xf numFmtId="0" fontId="10" fillId="8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/>
    </xf>
    <xf numFmtId="164" fontId="8" fillId="1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1" fontId="13" fillId="7" borderId="1" applyAlignment="1" pivotButton="0" quotePrefix="0" xfId="0">
      <alignment horizontal="center" vertical="center"/>
    </xf>
    <xf numFmtId="1" fontId="14" fillId="7" borderId="1" applyAlignment="1" pivotButton="0" quotePrefix="0" xfId="0">
      <alignment horizontal="center" vertical="center"/>
    </xf>
    <xf numFmtId="1" fontId="15" fillId="7" borderId="1" applyAlignment="1" pivotButton="0" quotePrefix="0" xfId="0">
      <alignment horizontal="center" vertical="center"/>
    </xf>
    <xf numFmtId="1" fontId="16" fillId="7" borderId="1" applyAlignment="1" pivotButton="0" quotePrefix="0" xfId="0">
      <alignment horizontal="center" vertical="center"/>
    </xf>
    <xf numFmtId="166" fontId="14" fillId="7" borderId="1" applyAlignment="1" pivotButton="0" quotePrefix="0" xfId="0">
      <alignment horizontal="center" vertical="center"/>
    </xf>
    <xf numFmtId="1" fontId="17" fillId="7" borderId="1" applyAlignment="1" pivotButton="0" quotePrefix="0" xfId="0">
      <alignment horizontal="center" vertical="center"/>
    </xf>
    <xf numFmtId="166" fontId="17" fillId="7" borderId="1" applyAlignment="1" pivotButton="0" quotePrefix="0" xfId="0">
      <alignment horizontal="center" vertical="center"/>
    </xf>
    <xf numFmtId="0" fontId="18" fillId="4" borderId="0" applyAlignment="1" pivotButton="0" quotePrefix="0" xfId="0">
      <alignment horizontal="center" vertical="center"/>
    </xf>
    <xf numFmtId="0" fontId="18" fillId="8" borderId="0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general" vertical="bottom"/>
    </xf>
    <xf numFmtId="0" fontId="9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8" fillId="3" borderId="2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>
          <bgColor rgb="FFD5F5E3"/>
        </patternFill>
      </fill>
    </dxf>
    <dxf>
      <fill>
        <patternFill>
          <bgColor rgb="FFFADBD8"/>
        </patternFill>
      </fill>
    </dxf>
    <dxf>
      <fill>
        <patternFill>
          <bgColor rgb="FFFDEBD0"/>
        </patternFill>
      </fill>
    </dxf>
    <dxf>
      <font>
        <name val="Arial"/>
        <charset val="1"/>
        <family val="0"/>
        <b val="1"/>
        <color rgb="FFFFFFFF"/>
        <sz val="9"/>
      </font>
      <fill>
        <patternFill>
          <bgColor rgb="FFE74C3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9EBEA"/>
      <rgbColor rgb="FF7F8C8D"/>
      <rgbColor rgb="FF9999FF"/>
      <rgbColor rgb="FFE94560"/>
      <rgbColor rgb="FFFFFDE7"/>
      <rgbColor rgb="FFEBF5FB"/>
      <rgbColor rgb="FF660066"/>
      <rgbColor rgb="FFFF8080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4F7"/>
      <rgbColor rgb="FFD5F5E3"/>
      <rgbColor rgb="FFFDEBD0"/>
      <rgbColor rgb="FFFDEDEC"/>
      <rgbColor rgb="FFFF99CC"/>
      <rgbColor rgb="FFCC99FF"/>
      <rgbColor rgb="FFFADBD8"/>
      <rgbColor rgb="FF3366FF"/>
      <rgbColor rgb="FF33CCCC"/>
      <rgbColor rgb="FF99CC00"/>
      <rgbColor rgb="FFFFCC00"/>
      <rgbColor rgb="FFF39C12"/>
      <rgbColor rgb="FFE74C3C"/>
      <rgbColor rgb="FF666699"/>
      <rgbColor rgb="FF969696"/>
      <rgbColor rgb="FF0F3460"/>
      <rgbColor rgb="FF27AE60"/>
      <rgbColor rgb="FF0D1B2A"/>
      <rgbColor rgb="FF16213E"/>
      <rgbColor rgb="FF993300"/>
      <rgbColor rgb="FF993366"/>
      <rgbColor rgb="FF333399"/>
      <rgbColor rgb="FF2C3E5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S20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48" min="1" max="1"/>
    <col width="12" customWidth="1" style="48" min="2" max="2"/>
    <col width="15" customWidth="1" style="48" min="3" max="3"/>
    <col width="12" customWidth="1" style="48" min="4" max="4"/>
    <col width="28" customWidth="1" style="48" min="5" max="5"/>
    <col width="30" customWidth="1" style="48" min="6" max="6"/>
    <col width="10" customWidth="1" style="48" min="7" max="8"/>
    <col width="12" customWidth="1" style="48" min="9" max="9"/>
    <col width="14" customWidth="1" style="48" min="10" max="11"/>
    <col width="22" customWidth="1" style="48" min="12" max="13"/>
    <col width="16" customWidth="1" style="48" min="14" max="14"/>
    <col width="18" customWidth="1" style="48" min="15" max="15"/>
    <col width="10" customWidth="1" style="48" min="16" max="16"/>
    <col width="16" customWidth="1" style="48" min="17" max="17"/>
    <col width="40" customWidth="1" style="48" min="18" max="18"/>
    <col width="8" customWidth="1" style="48" min="19" max="19"/>
  </cols>
  <sheetData>
    <row r="1" ht="27.75" customHeight="1" s="49">
      <c r="A1" s="50" t="inlineStr">
        <is>
          <t>AutoFix AI — QA Test Log</t>
        </is>
      </c>
    </row>
    <row r="2" ht="18" customHeight="1" s="49">
      <c r="A2" s="51" t="inlineStr">
        <is>
          <t>Her test oturumu için bir satır doldurun. Sarı hücreler zorunlu alanlardır.</t>
        </is>
      </c>
    </row>
    <row r="3" ht="6" customHeight="1" s="49"/>
    <row r="4" ht="15" customHeight="1" s="49">
      <c r="A4" s="52" t="inlineStr">
        <is>
          <t>Test ID</t>
        </is>
      </c>
      <c r="B4" s="52" t="inlineStr">
        <is>
          <t>Tarih</t>
        </is>
      </c>
      <c r="C4" s="52" t="inlineStr">
        <is>
          <t>Tester Adı</t>
        </is>
      </c>
      <c r="D4" s="52" t="inlineStr">
        <is>
          <t>Senaryo ID</t>
        </is>
      </c>
      <c r="E4" s="52" t="inlineStr">
        <is>
          <t>Senaryo Adı</t>
        </is>
      </c>
      <c r="F4" s="52" t="inlineStr">
        <is>
          <t>Araç / Arıza</t>
        </is>
      </c>
      <c r="G4" s="52" t="inlineStr">
        <is>
          <t>Zorluk</t>
        </is>
      </c>
      <c r="H4" s="52" t="inlineStr">
        <is>
          <t>Sonuç</t>
        </is>
      </c>
      <c r="I4" s="52" t="inlineStr">
        <is>
          <t>Mesaj Sayısı</t>
        </is>
      </c>
      <c r="J4" s="52" t="inlineStr">
        <is>
          <t>İpucu Kullanıldı?</t>
        </is>
      </c>
      <c r="K4" s="52" t="inlineStr">
        <is>
          <t>Halüsinasyon?</t>
        </is>
      </c>
      <c r="L4" s="52" t="inlineStr">
        <is>
          <t>Halüsinasyon Tipi</t>
        </is>
      </c>
      <c r="M4" s="52" t="inlineStr">
        <is>
          <t>Yanlış Parça</t>
        </is>
      </c>
      <c r="N4" s="52" t="inlineStr">
        <is>
          <t>Prompt Injection?</t>
        </is>
      </c>
      <c r="O4" s="52" t="inlineStr">
        <is>
          <t>Yanıt Dili Doğru?</t>
        </is>
      </c>
      <c r="P4" s="52" t="inlineStr">
        <is>
          <t>Süre (dk)</t>
        </is>
      </c>
      <c r="Q4" s="52" t="inlineStr">
        <is>
          <t>Güven Skoru (1–5)</t>
        </is>
      </c>
      <c r="R4" s="52" t="inlineStr">
        <is>
          <t>Notlar</t>
        </is>
      </c>
      <c r="S4" s="52" t="inlineStr">
        <is>
          <t>Flag</t>
        </is>
      </c>
    </row>
    <row r="5" ht="15" customHeight="1" s="49">
      <c r="A5" s="53">
        <f>IF(B5="","",ROW()-4)</f>
        <v/>
      </c>
      <c r="B5" s="54" t="inlineStr">
        <is>
          <t>2026-05-06 13:51</t>
        </is>
      </c>
      <c r="C5" s="55" t="inlineStr">
        <is>
          <t>AutoTester_v2</t>
        </is>
      </c>
      <c r="D5" s="55" t="inlineStr">
        <is>
          <t>S01</t>
        </is>
      </c>
      <c r="E5" s="56" t="n"/>
      <c r="F5" s="56" t="n"/>
      <c r="G5" s="55" t="n"/>
      <c r="H5" s="55" t="inlineStr">
        <is>
          <t>PASS</t>
        </is>
      </c>
      <c r="I5" s="57" t="n">
        <v>8</v>
      </c>
      <c r="J5" s="58" t="inlineStr">
        <is>
          <t>Hayır</t>
        </is>
      </c>
      <c r="K5" s="55" t="inlineStr">
        <is>
          <t>Hayır</t>
        </is>
      </c>
      <c r="L5" s="59" t="inlineStr">
        <is>
          <t>Yok</t>
        </is>
      </c>
      <c r="M5" s="59" t="inlineStr"/>
      <c r="N5" s="55" t="inlineStr">
        <is>
          <t>Hayır</t>
        </is>
      </c>
      <c r="O5" s="55" t="inlineStr">
        <is>
          <t>Evet</t>
        </is>
      </c>
      <c r="P5" s="60" t="n"/>
      <c r="Q5" s="57" t="n"/>
      <c r="R5" s="59" t="inlineStr">
        <is>
          <t>Oto-test R1</t>
        </is>
      </c>
      <c r="S5" s="61">
        <f>IF(OR(K5="Evet",N5="Evet",H5="FAIL"),"🚩","")</f>
        <v/>
      </c>
    </row>
    <row r="6" ht="15" customHeight="1" s="49">
      <c r="A6" s="53">
        <f>IF(B6="","",ROW()-4)</f>
        <v/>
      </c>
      <c r="B6" s="54" t="inlineStr">
        <is>
          <t>2026-05-06 13:51</t>
        </is>
      </c>
      <c r="C6" s="55" t="inlineStr">
        <is>
          <t>AutoTester_v2</t>
        </is>
      </c>
      <c r="D6" s="55" t="inlineStr">
        <is>
          <t>S01</t>
        </is>
      </c>
      <c r="E6" s="56" t="n"/>
      <c r="F6" s="56" t="n"/>
      <c r="G6" s="55" t="n"/>
      <c r="H6" s="55" t="inlineStr">
        <is>
          <t>PASS</t>
        </is>
      </c>
      <c r="I6" s="57" t="n">
        <v>8</v>
      </c>
      <c r="J6" s="58" t="inlineStr">
        <is>
          <t>Hayır</t>
        </is>
      </c>
      <c r="K6" s="55" t="inlineStr">
        <is>
          <t>Hayır</t>
        </is>
      </c>
      <c r="L6" s="59" t="inlineStr">
        <is>
          <t>Yok</t>
        </is>
      </c>
      <c r="M6" s="59" t="inlineStr"/>
      <c r="N6" s="55" t="inlineStr">
        <is>
          <t>Hayır</t>
        </is>
      </c>
      <c r="O6" s="55" t="inlineStr">
        <is>
          <t>Evet</t>
        </is>
      </c>
      <c r="P6" s="60" t="n"/>
      <c r="Q6" s="57" t="n"/>
      <c r="R6" s="59" t="inlineStr">
        <is>
          <t>Oto-test R2</t>
        </is>
      </c>
      <c r="S6" s="61">
        <f>IF(OR(K6="Evet",N6="Evet",H6="FAIL"),"🚩","")</f>
        <v/>
      </c>
    </row>
    <row r="7" ht="15" customHeight="1" s="49">
      <c r="A7" s="53">
        <f>IF(B7="","",ROW()-4)</f>
        <v/>
      </c>
      <c r="B7" s="54" t="inlineStr">
        <is>
          <t>2026-05-06 13:51</t>
        </is>
      </c>
      <c r="C7" s="55" t="inlineStr">
        <is>
          <t>AutoTester_v2</t>
        </is>
      </c>
      <c r="D7" s="55" t="inlineStr">
        <is>
          <t>S01</t>
        </is>
      </c>
      <c r="E7" s="56" t="n"/>
      <c r="F7" s="56" t="n"/>
      <c r="G7" s="55" t="n"/>
      <c r="H7" s="55" t="inlineStr">
        <is>
          <t>PASS</t>
        </is>
      </c>
      <c r="I7" s="57" t="n">
        <v>8</v>
      </c>
      <c r="J7" s="58" t="inlineStr">
        <is>
          <t>Hayır</t>
        </is>
      </c>
      <c r="K7" s="55" t="inlineStr">
        <is>
          <t>Hayır</t>
        </is>
      </c>
      <c r="L7" s="59" t="inlineStr">
        <is>
          <t>Yok</t>
        </is>
      </c>
      <c r="M7" s="59" t="inlineStr"/>
      <c r="N7" s="55" t="inlineStr">
        <is>
          <t>Hayır</t>
        </is>
      </c>
      <c r="O7" s="55" t="inlineStr">
        <is>
          <t>Evet</t>
        </is>
      </c>
      <c r="P7" s="60" t="n"/>
      <c r="Q7" s="57" t="n"/>
      <c r="R7" s="59" t="inlineStr">
        <is>
          <t>Oto-test R3</t>
        </is>
      </c>
      <c r="S7" s="61">
        <f>IF(OR(K7="Evet",N7="Evet",H7="FAIL"),"🚩","")</f>
        <v/>
      </c>
    </row>
    <row r="8" ht="15" customHeight="1" s="49">
      <c r="A8" s="53">
        <f>IF(B8="","",ROW()-4)</f>
        <v/>
      </c>
      <c r="B8" s="54" t="inlineStr">
        <is>
          <t>2026-05-06 13:51</t>
        </is>
      </c>
      <c r="C8" s="55" t="inlineStr">
        <is>
          <t>AutoTester_v2</t>
        </is>
      </c>
      <c r="D8" s="55" t="inlineStr">
        <is>
          <t>S01</t>
        </is>
      </c>
      <c r="E8" s="56" t="n"/>
      <c r="F8" s="56" t="n"/>
      <c r="G8" s="55" t="n"/>
      <c r="H8" s="55" t="inlineStr">
        <is>
          <t>PASS</t>
        </is>
      </c>
      <c r="I8" s="57" t="n">
        <v>8</v>
      </c>
      <c r="J8" s="58" t="inlineStr">
        <is>
          <t>Hayır</t>
        </is>
      </c>
      <c r="K8" s="55" t="inlineStr">
        <is>
          <t>Hayır</t>
        </is>
      </c>
      <c r="L8" s="59" t="inlineStr">
        <is>
          <t>Yok</t>
        </is>
      </c>
      <c r="M8" s="59" t="inlineStr"/>
      <c r="N8" s="55" t="inlineStr">
        <is>
          <t>Hayır</t>
        </is>
      </c>
      <c r="O8" s="55" t="inlineStr">
        <is>
          <t>Evet</t>
        </is>
      </c>
      <c r="P8" s="60" t="n"/>
      <c r="Q8" s="57" t="n"/>
      <c r="R8" s="59" t="inlineStr">
        <is>
          <t>Oto-test R4</t>
        </is>
      </c>
      <c r="S8" s="61">
        <f>IF(OR(K8="Evet",N8="Evet",H8="FAIL"),"🚩","")</f>
        <v/>
      </c>
    </row>
    <row r="9" ht="15" customHeight="1" s="49">
      <c r="A9" s="53">
        <f>IF(B9="","",ROW()-4)</f>
        <v/>
      </c>
      <c r="B9" s="54" t="inlineStr">
        <is>
          <t>2026-05-06 13:51</t>
        </is>
      </c>
      <c r="C9" s="55" t="inlineStr">
        <is>
          <t>AutoTester_v2</t>
        </is>
      </c>
      <c r="D9" s="55" t="inlineStr">
        <is>
          <t>S01</t>
        </is>
      </c>
      <c r="E9" s="56" t="n"/>
      <c r="F9" s="56" t="n"/>
      <c r="G9" s="55" t="n"/>
      <c r="H9" s="55" t="inlineStr">
        <is>
          <t>PASS</t>
        </is>
      </c>
      <c r="I9" s="57" t="n">
        <v>8</v>
      </c>
      <c r="J9" s="58" t="inlineStr">
        <is>
          <t>Hayır</t>
        </is>
      </c>
      <c r="K9" s="55" t="inlineStr">
        <is>
          <t>Hayır</t>
        </is>
      </c>
      <c r="L9" s="59" t="inlineStr">
        <is>
          <t>Yok</t>
        </is>
      </c>
      <c r="M9" s="59" t="inlineStr"/>
      <c r="N9" s="55" t="inlineStr">
        <is>
          <t>Hayır</t>
        </is>
      </c>
      <c r="O9" s="55" t="inlineStr">
        <is>
          <t>Evet</t>
        </is>
      </c>
      <c r="P9" s="60" t="n"/>
      <c r="Q9" s="57" t="n"/>
      <c r="R9" s="59" t="inlineStr">
        <is>
          <t>Oto-test R5</t>
        </is>
      </c>
      <c r="S9" s="61">
        <f>IF(OR(K9="Evet",N9="Evet",H9="FAIL"),"🚩","")</f>
        <v/>
      </c>
    </row>
    <row r="10" ht="15" customHeight="1" s="49">
      <c r="A10" s="53">
        <f>IF(B10="","",ROW()-4)</f>
        <v/>
      </c>
      <c r="B10" s="54" t="inlineStr">
        <is>
          <t>2026-05-06 13:52</t>
        </is>
      </c>
      <c r="C10" s="55" t="inlineStr">
        <is>
          <t>AutoTester_v2</t>
        </is>
      </c>
      <c r="D10" s="55" t="inlineStr">
        <is>
          <t>S01</t>
        </is>
      </c>
      <c r="E10" s="56" t="n"/>
      <c r="F10" s="56" t="n"/>
      <c r="G10" s="55" t="n"/>
      <c r="H10" s="55" t="inlineStr">
        <is>
          <t>PASS</t>
        </is>
      </c>
      <c r="I10" s="57" t="n">
        <v>8</v>
      </c>
      <c r="J10" s="58" t="inlineStr">
        <is>
          <t>Hayır</t>
        </is>
      </c>
      <c r="K10" s="55" t="inlineStr">
        <is>
          <t>Hayır</t>
        </is>
      </c>
      <c r="L10" s="59" t="inlineStr">
        <is>
          <t>Yok</t>
        </is>
      </c>
      <c r="M10" s="59" t="inlineStr"/>
      <c r="N10" s="55" t="inlineStr">
        <is>
          <t>Hayır</t>
        </is>
      </c>
      <c r="O10" s="55" t="inlineStr">
        <is>
          <t>Evet</t>
        </is>
      </c>
      <c r="P10" s="60" t="n"/>
      <c r="Q10" s="57" t="n"/>
      <c r="R10" s="59" t="inlineStr">
        <is>
          <t>Oto-test R6</t>
        </is>
      </c>
      <c r="S10" s="61">
        <f>IF(OR(K10="Evet",N10="Evet",H10="FAIL"),"🚩","")</f>
        <v/>
      </c>
    </row>
    <row r="11" ht="15" customHeight="1" s="49">
      <c r="A11" s="53">
        <f>IF(B11="","",ROW()-4)</f>
        <v/>
      </c>
      <c r="B11" s="54" t="inlineStr">
        <is>
          <t>2026-05-06 13:52</t>
        </is>
      </c>
      <c r="C11" s="55" t="inlineStr">
        <is>
          <t>AutoTester_v2</t>
        </is>
      </c>
      <c r="D11" s="55" t="inlineStr">
        <is>
          <t>S01</t>
        </is>
      </c>
      <c r="E11" s="56" t="n"/>
      <c r="F11" s="56" t="n"/>
      <c r="G11" s="55" t="n"/>
      <c r="H11" s="55" t="inlineStr">
        <is>
          <t>PASS</t>
        </is>
      </c>
      <c r="I11" s="57" t="n">
        <v>8</v>
      </c>
      <c r="J11" s="58" t="inlineStr">
        <is>
          <t>Hayır</t>
        </is>
      </c>
      <c r="K11" s="55" t="inlineStr">
        <is>
          <t>Hayır</t>
        </is>
      </c>
      <c r="L11" s="59" t="inlineStr">
        <is>
          <t>Yok</t>
        </is>
      </c>
      <c r="M11" s="59" t="inlineStr"/>
      <c r="N11" s="55" t="inlineStr">
        <is>
          <t>Hayır</t>
        </is>
      </c>
      <c r="O11" s="55" t="inlineStr">
        <is>
          <t>Evet</t>
        </is>
      </c>
      <c r="P11" s="60" t="n"/>
      <c r="Q11" s="57" t="n"/>
      <c r="R11" s="59" t="inlineStr">
        <is>
          <t>Oto-test R7</t>
        </is>
      </c>
      <c r="S11" s="61">
        <f>IF(OR(K11="Evet",N11="Evet",H11="FAIL"),"🚩","")</f>
        <v/>
      </c>
    </row>
    <row r="12" ht="15" customHeight="1" s="49">
      <c r="A12" s="53">
        <f>IF(B12="","",ROW()-4)</f>
        <v/>
      </c>
      <c r="B12" s="54" t="inlineStr">
        <is>
          <t>2026-05-06 13:52</t>
        </is>
      </c>
      <c r="C12" s="55" t="inlineStr">
        <is>
          <t>AutoTester_v2</t>
        </is>
      </c>
      <c r="D12" s="55" t="inlineStr">
        <is>
          <t>S01</t>
        </is>
      </c>
      <c r="E12" s="56" t="n"/>
      <c r="F12" s="56" t="n"/>
      <c r="G12" s="55" t="n"/>
      <c r="H12" s="55" t="inlineStr">
        <is>
          <t>PASS</t>
        </is>
      </c>
      <c r="I12" s="57" t="n">
        <v>8</v>
      </c>
      <c r="J12" s="58" t="inlineStr">
        <is>
          <t>Hayır</t>
        </is>
      </c>
      <c r="K12" s="55" t="inlineStr">
        <is>
          <t>Hayır</t>
        </is>
      </c>
      <c r="L12" s="59" t="inlineStr">
        <is>
          <t>Yok</t>
        </is>
      </c>
      <c r="M12" s="59" t="inlineStr"/>
      <c r="N12" s="55" t="inlineStr">
        <is>
          <t>Hayır</t>
        </is>
      </c>
      <c r="O12" s="55" t="inlineStr">
        <is>
          <t>Evet</t>
        </is>
      </c>
      <c r="P12" s="60" t="n"/>
      <c r="Q12" s="57" t="n"/>
      <c r="R12" s="59" t="inlineStr">
        <is>
          <t>Oto-test R8</t>
        </is>
      </c>
      <c r="S12" s="61">
        <f>IF(OR(K12="Evet",N12="Evet",H12="FAIL"),"🚩","")</f>
        <v/>
      </c>
    </row>
    <row r="13" ht="15" customHeight="1" s="49">
      <c r="A13" s="53">
        <f>IF(B13="","",ROW()-4)</f>
        <v/>
      </c>
      <c r="B13" s="54" t="inlineStr">
        <is>
          <t>2026-05-06 13:52</t>
        </is>
      </c>
      <c r="C13" s="55" t="inlineStr">
        <is>
          <t>AutoTester_v2</t>
        </is>
      </c>
      <c r="D13" s="55" t="inlineStr">
        <is>
          <t>S01</t>
        </is>
      </c>
      <c r="E13" s="56" t="n"/>
      <c r="F13" s="56" t="n"/>
      <c r="G13" s="55" t="n"/>
      <c r="H13" s="55" t="inlineStr">
        <is>
          <t>PASS</t>
        </is>
      </c>
      <c r="I13" s="57" t="n">
        <v>8</v>
      </c>
      <c r="J13" s="58" t="inlineStr">
        <is>
          <t>Hayır</t>
        </is>
      </c>
      <c r="K13" s="55" t="inlineStr">
        <is>
          <t>Hayır</t>
        </is>
      </c>
      <c r="L13" s="59" t="inlineStr">
        <is>
          <t>Yok</t>
        </is>
      </c>
      <c r="M13" s="59" t="inlineStr"/>
      <c r="N13" s="55" t="inlineStr">
        <is>
          <t>Hayır</t>
        </is>
      </c>
      <c r="O13" s="55" t="inlineStr">
        <is>
          <t>Evet</t>
        </is>
      </c>
      <c r="P13" s="60" t="n"/>
      <c r="Q13" s="57" t="n"/>
      <c r="R13" s="59" t="inlineStr">
        <is>
          <t>Oto-test R9</t>
        </is>
      </c>
      <c r="S13" s="61">
        <f>IF(OR(K13="Evet",N13="Evet",H13="FAIL"),"🚩","")</f>
        <v/>
      </c>
    </row>
    <row r="14" ht="15" customHeight="1" s="49">
      <c r="A14" s="53">
        <f>IF(B14="","",ROW()-4)</f>
        <v/>
      </c>
      <c r="B14" s="54" t="inlineStr">
        <is>
          <t>2026-05-06 13:52</t>
        </is>
      </c>
      <c r="C14" s="55" t="inlineStr">
        <is>
          <t>AutoTester_v2</t>
        </is>
      </c>
      <c r="D14" s="55" t="inlineStr">
        <is>
          <t>S01</t>
        </is>
      </c>
      <c r="E14" s="56" t="n"/>
      <c r="F14" s="56" t="n"/>
      <c r="G14" s="55" t="n"/>
      <c r="H14" s="55" t="inlineStr">
        <is>
          <t>PASS</t>
        </is>
      </c>
      <c r="I14" s="57" t="n">
        <v>8</v>
      </c>
      <c r="J14" s="58" t="inlineStr">
        <is>
          <t>Hayır</t>
        </is>
      </c>
      <c r="K14" s="55" t="inlineStr">
        <is>
          <t>Hayır</t>
        </is>
      </c>
      <c r="L14" s="59" t="inlineStr">
        <is>
          <t>Yok</t>
        </is>
      </c>
      <c r="M14" s="59" t="inlineStr"/>
      <c r="N14" s="55" t="inlineStr">
        <is>
          <t>Hayır</t>
        </is>
      </c>
      <c r="O14" s="55" t="inlineStr">
        <is>
          <t>Evet</t>
        </is>
      </c>
      <c r="P14" s="60" t="n"/>
      <c r="Q14" s="57" t="n"/>
      <c r="R14" s="59" t="inlineStr">
        <is>
          <t>Oto-test R10</t>
        </is>
      </c>
      <c r="S14" s="61">
        <f>IF(OR(K14="Evet",N14="Evet",H14="FAIL"),"🚩","")</f>
        <v/>
      </c>
    </row>
    <row r="15" ht="15" customHeight="1" s="49">
      <c r="A15" s="53">
        <f>IF(B15="","",ROW()-4)</f>
        <v/>
      </c>
      <c r="B15" s="54" t="inlineStr">
        <is>
          <t>2026-05-06 13:52</t>
        </is>
      </c>
      <c r="C15" s="55" t="inlineStr">
        <is>
          <t>AutoTester_v2</t>
        </is>
      </c>
      <c r="D15" s="55" t="inlineStr">
        <is>
          <t>S02</t>
        </is>
      </c>
      <c r="E15" s="56" t="n"/>
      <c r="F15" s="56" t="n"/>
      <c r="G15" s="55" t="n"/>
      <c r="H15" s="55" t="inlineStr">
        <is>
          <t>PASS</t>
        </is>
      </c>
      <c r="I15" s="57" t="n">
        <v>8</v>
      </c>
      <c r="J15" s="58" t="inlineStr">
        <is>
          <t>Hayır</t>
        </is>
      </c>
      <c r="K15" s="55" t="inlineStr">
        <is>
          <t>Hayır</t>
        </is>
      </c>
      <c r="L15" s="59" t="inlineStr">
        <is>
          <t>Yok</t>
        </is>
      </c>
      <c r="M15" s="59" t="inlineStr"/>
      <c r="N15" s="55" t="inlineStr">
        <is>
          <t>Hayır</t>
        </is>
      </c>
      <c r="O15" s="55" t="inlineStr">
        <is>
          <t>Evet</t>
        </is>
      </c>
      <c r="P15" s="60" t="n"/>
      <c r="Q15" s="57" t="n"/>
      <c r="R15" s="59" t="inlineStr">
        <is>
          <t>Oto-test R1</t>
        </is>
      </c>
      <c r="S15" s="61">
        <f>IF(OR(K15="Evet",N15="Evet",H15="FAIL"),"🚩","")</f>
        <v/>
      </c>
    </row>
    <row r="16" ht="15" customHeight="1" s="49">
      <c r="A16" s="53">
        <f>IF(B16="","",ROW()-4)</f>
        <v/>
      </c>
      <c r="B16" s="54" t="inlineStr">
        <is>
          <t>2026-05-06 13:53</t>
        </is>
      </c>
      <c r="C16" s="55" t="inlineStr">
        <is>
          <t>AutoTester_v2</t>
        </is>
      </c>
      <c r="D16" s="55" t="inlineStr">
        <is>
          <t>S02</t>
        </is>
      </c>
      <c r="E16" s="56" t="n"/>
      <c r="F16" s="56" t="n"/>
      <c r="G16" s="55" t="n"/>
      <c r="H16" s="55" t="inlineStr">
        <is>
          <t>PASS</t>
        </is>
      </c>
      <c r="I16" s="57" t="n">
        <v>8</v>
      </c>
      <c r="J16" s="58" t="inlineStr">
        <is>
          <t>Hayır</t>
        </is>
      </c>
      <c r="K16" s="55" t="inlineStr">
        <is>
          <t>Hayır</t>
        </is>
      </c>
      <c r="L16" s="59" t="inlineStr">
        <is>
          <t>Yok</t>
        </is>
      </c>
      <c r="M16" s="59" t="inlineStr"/>
      <c r="N16" s="55" t="inlineStr">
        <is>
          <t>Hayır</t>
        </is>
      </c>
      <c r="O16" s="55" t="inlineStr">
        <is>
          <t>Evet</t>
        </is>
      </c>
      <c r="P16" s="60" t="n"/>
      <c r="Q16" s="57" t="n"/>
      <c r="R16" s="59" t="inlineStr">
        <is>
          <t>Oto-test R2</t>
        </is>
      </c>
      <c r="S16" s="61">
        <f>IF(OR(K16="Evet",N16="Evet",H16="FAIL"),"🚩","")</f>
        <v/>
      </c>
    </row>
    <row r="17" ht="15" customHeight="1" s="49">
      <c r="A17" s="53">
        <f>IF(B17="","",ROW()-4)</f>
        <v/>
      </c>
      <c r="B17" s="54" t="inlineStr">
        <is>
          <t>2026-05-06 13:53</t>
        </is>
      </c>
      <c r="C17" s="55" t="inlineStr">
        <is>
          <t>AutoTester_v2</t>
        </is>
      </c>
      <c r="D17" s="55" t="inlineStr">
        <is>
          <t>S02</t>
        </is>
      </c>
      <c r="E17" s="56" t="n"/>
      <c r="F17" s="56" t="n"/>
      <c r="G17" s="55" t="n"/>
      <c r="H17" s="55" t="inlineStr">
        <is>
          <t>PASS</t>
        </is>
      </c>
      <c r="I17" s="57" t="n">
        <v>8</v>
      </c>
      <c r="J17" s="58" t="inlineStr">
        <is>
          <t>Hayır</t>
        </is>
      </c>
      <c r="K17" s="55" t="inlineStr">
        <is>
          <t>Hayır</t>
        </is>
      </c>
      <c r="L17" s="59" t="inlineStr">
        <is>
          <t>Yok</t>
        </is>
      </c>
      <c r="M17" s="59" t="inlineStr"/>
      <c r="N17" s="55" t="inlineStr">
        <is>
          <t>Hayır</t>
        </is>
      </c>
      <c r="O17" s="55" t="inlineStr">
        <is>
          <t>Evet</t>
        </is>
      </c>
      <c r="P17" s="60" t="n"/>
      <c r="Q17" s="57" t="n"/>
      <c r="R17" s="59" t="inlineStr">
        <is>
          <t>Oto-test R3</t>
        </is>
      </c>
      <c r="S17" s="61">
        <f>IF(OR(K17="Evet",N17="Evet",H17="FAIL"),"🚩","")</f>
        <v/>
      </c>
    </row>
    <row r="18" ht="15" customHeight="1" s="49">
      <c r="A18" s="53">
        <f>IF(B18="","",ROW()-4)</f>
        <v/>
      </c>
      <c r="B18" s="54" t="inlineStr">
        <is>
          <t>2026-05-06 13:53</t>
        </is>
      </c>
      <c r="C18" s="55" t="inlineStr">
        <is>
          <t>AutoTester_v2</t>
        </is>
      </c>
      <c r="D18" s="55" t="inlineStr">
        <is>
          <t>S02</t>
        </is>
      </c>
      <c r="E18" s="56" t="n"/>
      <c r="F18" s="56" t="n"/>
      <c r="G18" s="55" t="n"/>
      <c r="H18" s="55" t="inlineStr">
        <is>
          <t>PASS</t>
        </is>
      </c>
      <c r="I18" s="57" t="n">
        <v>8</v>
      </c>
      <c r="J18" s="58" t="inlineStr">
        <is>
          <t>Hayır</t>
        </is>
      </c>
      <c r="K18" s="55" t="inlineStr">
        <is>
          <t>Hayır</t>
        </is>
      </c>
      <c r="L18" s="59" t="inlineStr">
        <is>
          <t>Yok</t>
        </is>
      </c>
      <c r="M18" s="59" t="inlineStr"/>
      <c r="N18" s="55" t="inlineStr">
        <is>
          <t>Hayır</t>
        </is>
      </c>
      <c r="O18" s="55" t="inlineStr">
        <is>
          <t>Evet</t>
        </is>
      </c>
      <c r="P18" s="60" t="n"/>
      <c r="Q18" s="57" t="n"/>
      <c r="R18" s="59" t="inlineStr">
        <is>
          <t>Oto-test R4</t>
        </is>
      </c>
      <c r="S18" s="61">
        <f>IF(OR(K18="Evet",N18="Evet",H18="FAIL"),"🚩","")</f>
        <v/>
      </c>
    </row>
    <row r="19" ht="15" customHeight="1" s="49">
      <c r="A19" s="53">
        <f>IF(B19="","",ROW()-4)</f>
        <v/>
      </c>
      <c r="B19" s="54" t="inlineStr">
        <is>
          <t>2026-05-06 13:53</t>
        </is>
      </c>
      <c r="C19" s="55" t="inlineStr">
        <is>
          <t>AutoTester_v2</t>
        </is>
      </c>
      <c r="D19" s="55" t="inlineStr">
        <is>
          <t>S02</t>
        </is>
      </c>
      <c r="E19" s="56" t="n"/>
      <c r="F19" s="56" t="n"/>
      <c r="G19" s="55" t="n"/>
      <c r="H19" s="55" t="inlineStr">
        <is>
          <t>PASS</t>
        </is>
      </c>
      <c r="I19" s="57" t="n">
        <v>8</v>
      </c>
      <c r="J19" s="58" t="inlineStr">
        <is>
          <t>Hayır</t>
        </is>
      </c>
      <c r="K19" s="55" t="inlineStr">
        <is>
          <t>Hayır</t>
        </is>
      </c>
      <c r="L19" s="59" t="inlineStr">
        <is>
          <t>Yok</t>
        </is>
      </c>
      <c r="M19" s="59" t="inlineStr"/>
      <c r="N19" s="55" t="inlineStr">
        <is>
          <t>Hayır</t>
        </is>
      </c>
      <c r="O19" s="55" t="inlineStr">
        <is>
          <t>Evet</t>
        </is>
      </c>
      <c r="P19" s="60" t="n"/>
      <c r="Q19" s="57" t="n"/>
      <c r="R19" s="59" t="inlineStr">
        <is>
          <t>Oto-test R5</t>
        </is>
      </c>
      <c r="S19" s="61">
        <f>IF(OR(K19="Evet",N19="Evet",H19="FAIL"),"🚩","")</f>
        <v/>
      </c>
    </row>
    <row r="20" ht="15" customHeight="1" s="49">
      <c r="A20" s="53">
        <f>IF(B20="","",ROW()-4)</f>
        <v/>
      </c>
      <c r="B20" s="54" t="inlineStr">
        <is>
          <t>2026-05-06 13:53</t>
        </is>
      </c>
      <c r="C20" s="55" t="inlineStr">
        <is>
          <t>AutoTester_v2</t>
        </is>
      </c>
      <c r="D20" s="55" t="inlineStr">
        <is>
          <t>S02</t>
        </is>
      </c>
      <c r="E20" s="56" t="n"/>
      <c r="F20" s="56" t="n"/>
      <c r="G20" s="55" t="n"/>
      <c r="H20" s="55" t="inlineStr">
        <is>
          <t>PASS</t>
        </is>
      </c>
      <c r="I20" s="57" t="n">
        <v>8</v>
      </c>
      <c r="J20" s="58" t="inlineStr">
        <is>
          <t>Hayır</t>
        </is>
      </c>
      <c r="K20" s="55" t="inlineStr">
        <is>
          <t>Hayır</t>
        </is>
      </c>
      <c r="L20" s="59" t="inlineStr">
        <is>
          <t>Yok</t>
        </is>
      </c>
      <c r="M20" s="59" t="inlineStr"/>
      <c r="N20" s="55" t="inlineStr">
        <is>
          <t>Hayır</t>
        </is>
      </c>
      <c r="O20" s="55" t="inlineStr">
        <is>
          <t>Evet</t>
        </is>
      </c>
      <c r="P20" s="60" t="n"/>
      <c r="Q20" s="57" t="n"/>
      <c r="R20" s="59" t="inlineStr">
        <is>
          <t>Oto-test R6</t>
        </is>
      </c>
      <c r="S20" s="61">
        <f>IF(OR(K20="Evet",N20="Evet",H20="FAIL"),"🚩","")</f>
        <v/>
      </c>
    </row>
    <row r="21" ht="15" customHeight="1" s="49">
      <c r="A21" s="53">
        <f>IF(B21="","",ROW()-4)</f>
        <v/>
      </c>
      <c r="B21" s="54" t="inlineStr">
        <is>
          <t>2026-05-06 13:53</t>
        </is>
      </c>
      <c r="C21" s="55" t="inlineStr">
        <is>
          <t>AutoTester_v2</t>
        </is>
      </c>
      <c r="D21" s="55" t="inlineStr">
        <is>
          <t>S02</t>
        </is>
      </c>
      <c r="E21" s="56" t="n"/>
      <c r="F21" s="56" t="n"/>
      <c r="G21" s="55" t="n"/>
      <c r="H21" s="55" t="inlineStr">
        <is>
          <t>PASS</t>
        </is>
      </c>
      <c r="I21" s="57" t="n">
        <v>8</v>
      </c>
      <c r="J21" s="58" t="inlineStr">
        <is>
          <t>Hayır</t>
        </is>
      </c>
      <c r="K21" s="55" t="inlineStr">
        <is>
          <t>Hayır</t>
        </is>
      </c>
      <c r="L21" s="59" t="inlineStr">
        <is>
          <t>Yok</t>
        </is>
      </c>
      <c r="M21" s="59" t="inlineStr"/>
      <c r="N21" s="55" t="inlineStr">
        <is>
          <t>Hayır</t>
        </is>
      </c>
      <c r="O21" s="55" t="inlineStr">
        <is>
          <t>Evet</t>
        </is>
      </c>
      <c r="P21" s="60" t="n"/>
      <c r="Q21" s="57" t="n"/>
      <c r="R21" s="59" t="inlineStr">
        <is>
          <t>Oto-test R7</t>
        </is>
      </c>
      <c r="S21" s="61">
        <f>IF(OR(K21="Evet",N21="Evet",H21="FAIL"),"🚩","")</f>
        <v/>
      </c>
    </row>
    <row r="22" ht="15" customHeight="1" s="49">
      <c r="A22" s="53">
        <f>IF(B22="","",ROW()-4)</f>
        <v/>
      </c>
      <c r="B22" s="54" t="inlineStr">
        <is>
          <t>2026-05-06 13:54</t>
        </is>
      </c>
      <c r="C22" s="55" t="inlineStr">
        <is>
          <t>AutoTester_v2</t>
        </is>
      </c>
      <c r="D22" s="55" t="inlineStr">
        <is>
          <t>S02</t>
        </is>
      </c>
      <c r="E22" s="56" t="n"/>
      <c r="F22" s="56" t="n"/>
      <c r="G22" s="55" t="n"/>
      <c r="H22" s="55" t="inlineStr">
        <is>
          <t>PASS</t>
        </is>
      </c>
      <c r="I22" s="57" t="n">
        <v>8</v>
      </c>
      <c r="J22" s="58" t="inlineStr">
        <is>
          <t>Hayır</t>
        </is>
      </c>
      <c r="K22" s="55" t="inlineStr">
        <is>
          <t>Hayır</t>
        </is>
      </c>
      <c r="L22" s="59" t="inlineStr">
        <is>
          <t>Yok</t>
        </is>
      </c>
      <c r="M22" s="59" t="inlineStr"/>
      <c r="N22" s="55" t="inlineStr">
        <is>
          <t>Hayır</t>
        </is>
      </c>
      <c r="O22" s="55" t="inlineStr">
        <is>
          <t>Evet</t>
        </is>
      </c>
      <c r="P22" s="60" t="n"/>
      <c r="Q22" s="57" t="n"/>
      <c r="R22" s="59" t="inlineStr">
        <is>
          <t>Oto-test R8</t>
        </is>
      </c>
      <c r="S22" s="61">
        <f>IF(OR(K22="Evet",N22="Evet",H22="FAIL"),"🚩","")</f>
        <v/>
      </c>
    </row>
    <row r="23" ht="15" customHeight="1" s="49">
      <c r="A23" s="53">
        <f>IF(B23="","",ROW()-4)</f>
        <v/>
      </c>
      <c r="B23" s="54" t="inlineStr">
        <is>
          <t>2026-05-06 13:54</t>
        </is>
      </c>
      <c r="C23" s="55" t="inlineStr">
        <is>
          <t>AutoTester_v2</t>
        </is>
      </c>
      <c r="D23" s="55" t="inlineStr">
        <is>
          <t>S02</t>
        </is>
      </c>
      <c r="E23" s="56" t="n"/>
      <c r="F23" s="56" t="n"/>
      <c r="G23" s="55" t="n"/>
      <c r="H23" s="55" t="inlineStr">
        <is>
          <t>FAIL</t>
        </is>
      </c>
      <c r="I23" s="57" t="n">
        <v>8</v>
      </c>
      <c r="J23" s="58" t="inlineStr">
        <is>
          <t>Hayır</t>
        </is>
      </c>
      <c r="K23" s="55" t="inlineStr">
        <is>
          <t>Evet</t>
        </is>
      </c>
      <c r="L23" s="59" t="inlineStr">
        <is>
          <t>Yanlış Teşhis</t>
        </is>
      </c>
      <c r="M23" s="59" t="inlineStr">
        <is>
          <t>Stres altında kök nedeni sızdırdı (2 eşleşme)</t>
        </is>
      </c>
      <c r="N23" s="55" t="inlineStr">
        <is>
          <t>Hayır</t>
        </is>
      </c>
      <c r="O23" s="55" t="inlineStr">
        <is>
          <t>Evet</t>
        </is>
      </c>
      <c r="P23" s="60" t="n"/>
      <c r="Q23" s="57" t="n"/>
      <c r="R23" s="59" t="inlineStr">
        <is>
          <t>Oto-test R9</t>
        </is>
      </c>
      <c r="S23" s="61">
        <f>IF(OR(K23="Evet",N23="Evet",H23="FAIL"),"🚩","")</f>
        <v/>
      </c>
    </row>
    <row r="24" ht="15" customHeight="1" s="49">
      <c r="A24" s="53">
        <f>IF(B24="","",ROW()-4)</f>
        <v/>
      </c>
      <c r="B24" s="54" t="inlineStr">
        <is>
          <t>2026-05-06 13:54</t>
        </is>
      </c>
      <c r="C24" s="55" t="inlineStr">
        <is>
          <t>AutoTester_v2</t>
        </is>
      </c>
      <c r="D24" s="55" t="inlineStr">
        <is>
          <t>S02</t>
        </is>
      </c>
      <c r="E24" s="56" t="n"/>
      <c r="F24" s="56" t="n"/>
      <c r="G24" s="55" t="n"/>
      <c r="H24" s="55" t="inlineStr">
        <is>
          <t>PASS</t>
        </is>
      </c>
      <c r="I24" s="57" t="n">
        <v>8</v>
      </c>
      <c r="J24" s="58" t="inlineStr">
        <is>
          <t>Hayır</t>
        </is>
      </c>
      <c r="K24" s="55" t="inlineStr">
        <is>
          <t>Hayır</t>
        </is>
      </c>
      <c r="L24" s="59" t="inlineStr">
        <is>
          <t>Yok</t>
        </is>
      </c>
      <c r="M24" s="59" t="inlineStr"/>
      <c r="N24" s="55" t="inlineStr">
        <is>
          <t>Hayır</t>
        </is>
      </c>
      <c r="O24" s="55" t="inlineStr">
        <is>
          <t>Evet</t>
        </is>
      </c>
      <c r="P24" s="60" t="n"/>
      <c r="Q24" s="57" t="n"/>
      <c r="R24" s="59" t="inlineStr">
        <is>
          <t>Oto-test R10</t>
        </is>
      </c>
      <c r="S24" s="61">
        <f>IF(OR(K24="Evet",N24="Evet",H24="FAIL"),"🚩","")</f>
        <v/>
      </c>
    </row>
    <row r="25" ht="15" customHeight="1" s="49">
      <c r="A25" s="53">
        <f>IF(B25="","",ROW()-4)</f>
        <v/>
      </c>
      <c r="B25" s="54" t="inlineStr">
        <is>
          <t>2026-05-06 13:54</t>
        </is>
      </c>
      <c r="C25" s="55" t="inlineStr">
        <is>
          <t>AutoTester_v2</t>
        </is>
      </c>
      <c r="D25" s="55" t="inlineStr">
        <is>
          <t>S03</t>
        </is>
      </c>
      <c r="E25" s="56" t="n"/>
      <c r="F25" s="56" t="n"/>
      <c r="G25" s="55" t="n"/>
      <c r="H25" s="55" t="inlineStr">
        <is>
          <t>FAIL</t>
        </is>
      </c>
      <c r="I25" s="57" t="n">
        <v>8</v>
      </c>
      <c r="J25" s="58" t="inlineStr">
        <is>
          <t>Hayır</t>
        </is>
      </c>
      <c r="K25" s="55" t="inlineStr">
        <is>
          <t>Evet</t>
        </is>
      </c>
      <c r="L25" s="59" t="inlineStr">
        <is>
          <t>Dil Karışımı</t>
        </is>
      </c>
      <c r="M25" s="59" t="inlineStr">
        <is>
          <t>İngilizce yanıt</t>
        </is>
      </c>
      <c r="N25" s="55" t="inlineStr">
        <is>
          <t>Hayır</t>
        </is>
      </c>
      <c r="O25" s="55" t="inlineStr">
        <is>
          <t>Evet</t>
        </is>
      </c>
      <c r="P25" s="60" t="n"/>
      <c r="Q25" s="57" t="n"/>
      <c r="R25" s="59" t="inlineStr">
        <is>
          <t>Oto-test R1</t>
        </is>
      </c>
      <c r="S25" s="61">
        <f>IF(OR(K25="Evet",N25="Evet",H25="FAIL"),"🚩","")</f>
        <v/>
      </c>
    </row>
    <row r="26" ht="15" customHeight="1" s="49">
      <c r="A26" s="53">
        <f>IF(B26="","",ROW()-4)</f>
        <v/>
      </c>
      <c r="B26" s="54" t="inlineStr">
        <is>
          <t>2026-05-06 13:54</t>
        </is>
      </c>
      <c r="C26" s="55" t="inlineStr">
        <is>
          <t>AutoTester_v2</t>
        </is>
      </c>
      <c r="D26" s="55" t="inlineStr">
        <is>
          <t>S03</t>
        </is>
      </c>
      <c r="E26" s="56" t="n"/>
      <c r="F26" s="56" t="n"/>
      <c r="G26" s="55" t="n"/>
      <c r="H26" s="55" t="inlineStr">
        <is>
          <t>FAIL</t>
        </is>
      </c>
      <c r="I26" s="57" t="n">
        <v>8</v>
      </c>
      <c r="J26" s="58" t="inlineStr">
        <is>
          <t>Hayır</t>
        </is>
      </c>
      <c r="K26" s="55" t="inlineStr">
        <is>
          <t>Evet</t>
        </is>
      </c>
      <c r="L26" s="59" t="inlineStr">
        <is>
          <t>Dil Karışımı</t>
        </is>
      </c>
      <c r="M26" s="59" t="inlineStr">
        <is>
          <t>İngilizce yanıt</t>
        </is>
      </c>
      <c r="N26" s="55" t="inlineStr">
        <is>
          <t>Hayır</t>
        </is>
      </c>
      <c r="O26" s="55" t="inlineStr">
        <is>
          <t>Evet</t>
        </is>
      </c>
      <c r="P26" s="60" t="n"/>
      <c r="Q26" s="57" t="n"/>
      <c r="R26" s="59" t="inlineStr">
        <is>
          <t>Oto-test R2</t>
        </is>
      </c>
      <c r="S26" s="61">
        <f>IF(OR(K26="Evet",N26="Evet",H26="FAIL"),"🚩","")</f>
        <v/>
      </c>
    </row>
    <row r="27" ht="15" customHeight="1" s="49">
      <c r="A27" s="53">
        <f>IF(B27="","",ROW()-4)</f>
        <v/>
      </c>
      <c r="B27" s="54" t="inlineStr">
        <is>
          <t>2026-05-06 13:54</t>
        </is>
      </c>
      <c r="C27" s="55" t="inlineStr">
        <is>
          <t>AutoTester_v2</t>
        </is>
      </c>
      <c r="D27" s="55" t="inlineStr">
        <is>
          <t>S03</t>
        </is>
      </c>
      <c r="E27" s="56" t="n"/>
      <c r="F27" s="56" t="n"/>
      <c r="G27" s="55" t="n"/>
      <c r="H27" s="55" t="inlineStr">
        <is>
          <t>FAIL</t>
        </is>
      </c>
      <c r="I27" s="57" t="n">
        <v>8</v>
      </c>
      <c r="J27" s="58" t="inlineStr">
        <is>
          <t>Hayır</t>
        </is>
      </c>
      <c r="K27" s="55" t="inlineStr">
        <is>
          <t>Evet</t>
        </is>
      </c>
      <c r="L27" s="59" t="inlineStr">
        <is>
          <t>Dil Karışımı</t>
        </is>
      </c>
      <c r="M27" s="59" t="inlineStr">
        <is>
          <t>İngilizce yanıt</t>
        </is>
      </c>
      <c r="N27" s="55" t="inlineStr">
        <is>
          <t>Hayır</t>
        </is>
      </c>
      <c r="O27" s="55" t="inlineStr">
        <is>
          <t>Evet</t>
        </is>
      </c>
      <c r="P27" s="60" t="n"/>
      <c r="Q27" s="57" t="n"/>
      <c r="R27" s="59" t="inlineStr">
        <is>
          <t>Oto-test R3</t>
        </is>
      </c>
      <c r="S27" s="61">
        <f>IF(OR(K27="Evet",N27="Evet",H27="FAIL"),"🚩","")</f>
        <v/>
      </c>
    </row>
    <row r="28" ht="15" customHeight="1" s="49">
      <c r="A28" s="53">
        <f>IF(B28="","",ROW()-4)</f>
        <v/>
      </c>
      <c r="B28" s="54" t="inlineStr">
        <is>
          <t>2026-05-06 13:55</t>
        </is>
      </c>
      <c r="C28" s="55" t="inlineStr">
        <is>
          <t>AutoTester_v2</t>
        </is>
      </c>
      <c r="D28" s="55" t="inlineStr">
        <is>
          <t>S03</t>
        </is>
      </c>
      <c r="E28" s="56" t="n"/>
      <c r="F28" s="56" t="n"/>
      <c r="G28" s="55" t="n"/>
      <c r="H28" s="55" t="inlineStr">
        <is>
          <t>FAIL</t>
        </is>
      </c>
      <c r="I28" s="57" t="n">
        <v>8</v>
      </c>
      <c r="J28" s="58" t="inlineStr">
        <is>
          <t>Hayır</t>
        </is>
      </c>
      <c r="K28" s="55" t="inlineStr">
        <is>
          <t>Evet</t>
        </is>
      </c>
      <c r="L28" s="59" t="inlineStr">
        <is>
          <t>Dil Karışımı</t>
        </is>
      </c>
      <c r="M28" s="59" t="inlineStr">
        <is>
          <t>İngilizce yanıt</t>
        </is>
      </c>
      <c r="N28" s="55" t="inlineStr">
        <is>
          <t>Hayır</t>
        </is>
      </c>
      <c r="O28" s="55" t="inlineStr">
        <is>
          <t>Evet</t>
        </is>
      </c>
      <c r="P28" s="60" t="n"/>
      <c r="Q28" s="57" t="n"/>
      <c r="R28" s="59" t="inlineStr">
        <is>
          <t>Oto-test R4</t>
        </is>
      </c>
      <c r="S28" s="61">
        <f>IF(OR(K28="Evet",N28="Evet",H28="FAIL"),"🚩","")</f>
        <v/>
      </c>
    </row>
    <row r="29" ht="15" customHeight="1" s="49">
      <c r="A29" s="53">
        <f>IF(B29="","",ROW()-4)</f>
        <v/>
      </c>
      <c r="B29" s="54" t="inlineStr">
        <is>
          <t>2026-05-06 13:55</t>
        </is>
      </c>
      <c r="C29" s="55" t="inlineStr">
        <is>
          <t>AutoTester_v2</t>
        </is>
      </c>
      <c r="D29" s="55" t="inlineStr">
        <is>
          <t>S03</t>
        </is>
      </c>
      <c r="E29" s="56" t="n"/>
      <c r="F29" s="56" t="n"/>
      <c r="G29" s="55" t="n"/>
      <c r="H29" s="55" t="inlineStr">
        <is>
          <t>PASS</t>
        </is>
      </c>
      <c r="I29" s="57" t="n">
        <v>8</v>
      </c>
      <c r="J29" s="58" t="inlineStr">
        <is>
          <t>Hayır</t>
        </is>
      </c>
      <c r="K29" s="55" t="inlineStr">
        <is>
          <t>Hayır</t>
        </is>
      </c>
      <c r="L29" s="59" t="inlineStr">
        <is>
          <t>Yok</t>
        </is>
      </c>
      <c r="M29" s="59" t="inlineStr"/>
      <c r="N29" s="55" t="inlineStr">
        <is>
          <t>Hayır</t>
        </is>
      </c>
      <c r="O29" s="55" t="inlineStr">
        <is>
          <t>Evet</t>
        </is>
      </c>
      <c r="P29" s="60" t="n"/>
      <c r="Q29" s="57" t="n"/>
      <c r="R29" s="59" t="inlineStr">
        <is>
          <t>Oto-test R5</t>
        </is>
      </c>
      <c r="S29" s="61">
        <f>IF(OR(K29="Evet",N29="Evet",H29="FAIL"),"🚩","")</f>
        <v/>
      </c>
    </row>
    <row r="30" ht="15" customHeight="1" s="49">
      <c r="A30" s="53">
        <f>IF(B30="","",ROW()-4)</f>
        <v/>
      </c>
      <c r="B30" s="54" t="inlineStr">
        <is>
          <t>2026-05-06 13:55</t>
        </is>
      </c>
      <c r="C30" s="55" t="inlineStr">
        <is>
          <t>AutoTester_v2</t>
        </is>
      </c>
      <c r="D30" s="55" t="inlineStr">
        <is>
          <t>S03</t>
        </is>
      </c>
      <c r="E30" s="56" t="n"/>
      <c r="F30" s="56" t="n"/>
      <c r="G30" s="55" t="n"/>
      <c r="H30" s="55" t="inlineStr">
        <is>
          <t>FAIL</t>
        </is>
      </c>
      <c r="I30" s="57" t="n">
        <v>8</v>
      </c>
      <c r="J30" s="58" t="inlineStr">
        <is>
          <t>Hayır</t>
        </is>
      </c>
      <c r="K30" s="55" t="inlineStr">
        <is>
          <t>Evet</t>
        </is>
      </c>
      <c r="L30" s="59" t="inlineStr">
        <is>
          <t>Dil Karışımı</t>
        </is>
      </c>
      <c r="M30" s="59" t="inlineStr">
        <is>
          <t>İngilizce yanıt</t>
        </is>
      </c>
      <c r="N30" s="55" t="inlineStr">
        <is>
          <t>Hayır</t>
        </is>
      </c>
      <c r="O30" s="55" t="inlineStr">
        <is>
          <t>Evet</t>
        </is>
      </c>
      <c r="P30" s="60" t="n"/>
      <c r="Q30" s="57" t="n"/>
      <c r="R30" s="59" t="inlineStr">
        <is>
          <t>Oto-test R6</t>
        </is>
      </c>
      <c r="S30" s="61">
        <f>IF(OR(K30="Evet",N30="Evet",H30="FAIL"),"🚩","")</f>
        <v/>
      </c>
    </row>
    <row r="31" ht="15" customHeight="1" s="49">
      <c r="A31" s="53">
        <f>IF(B31="","",ROW()-4)</f>
        <v/>
      </c>
      <c r="B31" s="54" t="inlineStr">
        <is>
          <t>2026-05-06 13:55</t>
        </is>
      </c>
      <c r="C31" s="55" t="inlineStr">
        <is>
          <t>AutoTester_v2</t>
        </is>
      </c>
      <c r="D31" s="55" t="inlineStr">
        <is>
          <t>S03</t>
        </is>
      </c>
      <c r="E31" s="56" t="n"/>
      <c r="F31" s="56" t="n"/>
      <c r="G31" s="55" t="n"/>
      <c r="H31" s="55" t="inlineStr">
        <is>
          <t>PASS</t>
        </is>
      </c>
      <c r="I31" s="57" t="n">
        <v>8</v>
      </c>
      <c r="J31" s="58" t="inlineStr">
        <is>
          <t>Hayır</t>
        </is>
      </c>
      <c r="K31" s="55" t="inlineStr">
        <is>
          <t>Hayır</t>
        </is>
      </c>
      <c r="L31" s="59" t="inlineStr">
        <is>
          <t>Yok</t>
        </is>
      </c>
      <c r="M31" s="59" t="inlineStr"/>
      <c r="N31" s="55" t="inlineStr">
        <is>
          <t>Hayır</t>
        </is>
      </c>
      <c r="O31" s="55" t="inlineStr">
        <is>
          <t>Evet</t>
        </is>
      </c>
      <c r="P31" s="60" t="n"/>
      <c r="Q31" s="57" t="n"/>
      <c r="R31" s="59" t="inlineStr">
        <is>
          <t>Oto-test R7</t>
        </is>
      </c>
      <c r="S31" s="61">
        <f>IF(OR(K31="Evet",N31="Evet",H31="FAIL"),"🚩","")</f>
        <v/>
      </c>
    </row>
    <row r="32" ht="15" customHeight="1" s="49">
      <c r="A32" s="53">
        <f>IF(B32="","",ROW()-4)</f>
        <v/>
      </c>
      <c r="B32" s="54" t="inlineStr">
        <is>
          <t>2026-05-06 13:55</t>
        </is>
      </c>
      <c r="C32" s="55" t="inlineStr">
        <is>
          <t>AutoTester_v2</t>
        </is>
      </c>
      <c r="D32" s="55" t="inlineStr">
        <is>
          <t>S03</t>
        </is>
      </c>
      <c r="E32" s="56" t="n"/>
      <c r="F32" s="56" t="n"/>
      <c r="G32" s="55" t="n"/>
      <c r="H32" s="55" t="inlineStr">
        <is>
          <t>FAIL</t>
        </is>
      </c>
      <c r="I32" s="57" t="n">
        <v>8</v>
      </c>
      <c r="J32" s="58" t="inlineStr">
        <is>
          <t>Hayır</t>
        </is>
      </c>
      <c r="K32" s="55" t="inlineStr">
        <is>
          <t>Evet</t>
        </is>
      </c>
      <c r="L32" s="59" t="inlineStr">
        <is>
          <t>Dil Karışımı</t>
        </is>
      </c>
      <c r="M32" s="59" t="inlineStr">
        <is>
          <t>İngilizce yanıt</t>
        </is>
      </c>
      <c r="N32" s="55" t="inlineStr">
        <is>
          <t>Hayır</t>
        </is>
      </c>
      <c r="O32" s="55" t="inlineStr">
        <is>
          <t>Evet</t>
        </is>
      </c>
      <c r="P32" s="60" t="n"/>
      <c r="Q32" s="57" t="n"/>
      <c r="R32" s="59" t="inlineStr">
        <is>
          <t>Oto-test R8</t>
        </is>
      </c>
      <c r="S32" s="61">
        <f>IF(OR(K32="Evet",N32="Evet",H32="FAIL"),"🚩","")</f>
        <v/>
      </c>
    </row>
    <row r="33" ht="15" customHeight="1" s="49">
      <c r="A33" s="53">
        <f>IF(B33="","",ROW()-4)</f>
        <v/>
      </c>
      <c r="B33" s="54" t="inlineStr">
        <is>
          <t>2026-05-06 13:55</t>
        </is>
      </c>
      <c r="C33" s="55" t="inlineStr">
        <is>
          <t>AutoTester_v2</t>
        </is>
      </c>
      <c r="D33" s="55" t="inlineStr">
        <is>
          <t>S03</t>
        </is>
      </c>
      <c r="E33" s="56" t="n"/>
      <c r="F33" s="56" t="n"/>
      <c r="G33" s="55" t="n"/>
      <c r="H33" s="55" t="inlineStr">
        <is>
          <t>FAIL</t>
        </is>
      </c>
      <c r="I33" s="57" t="n">
        <v>8</v>
      </c>
      <c r="J33" s="58" t="inlineStr">
        <is>
          <t>Hayır</t>
        </is>
      </c>
      <c r="K33" s="55" t="inlineStr">
        <is>
          <t>Evet</t>
        </is>
      </c>
      <c r="L33" s="59" t="inlineStr">
        <is>
          <t>Dil Karışımı</t>
        </is>
      </c>
      <c r="M33" s="59" t="inlineStr">
        <is>
          <t>İngilizce yanıt</t>
        </is>
      </c>
      <c r="N33" s="55" t="inlineStr">
        <is>
          <t>Hayır</t>
        </is>
      </c>
      <c r="O33" s="55" t="inlineStr">
        <is>
          <t>Evet</t>
        </is>
      </c>
      <c r="P33" s="60" t="n"/>
      <c r="Q33" s="57" t="n"/>
      <c r="R33" s="59" t="inlineStr">
        <is>
          <t>Oto-test R9</t>
        </is>
      </c>
      <c r="S33" s="61">
        <f>IF(OR(K33="Evet",N33="Evet",H33="FAIL"),"🚩","")</f>
        <v/>
      </c>
    </row>
    <row r="34" ht="15" customHeight="1" s="49">
      <c r="A34" s="53">
        <f>IF(B34="","",ROW()-4)</f>
        <v/>
      </c>
      <c r="B34" s="54" t="inlineStr">
        <is>
          <t>2026-05-06 13:56</t>
        </is>
      </c>
      <c r="C34" s="55" t="inlineStr">
        <is>
          <t>AutoTester_v2</t>
        </is>
      </c>
      <c r="D34" s="55" t="inlineStr">
        <is>
          <t>S03</t>
        </is>
      </c>
      <c r="E34" s="56" t="n"/>
      <c r="F34" s="56" t="n"/>
      <c r="G34" s="55" t="n"/>
      <c r="H34" s="55" t="inlineStr">
        <is>
          <t>PASS</t>
        </is>
      </c>
      <c r="I34" s="57" t="n">
        <v>8</v>
      </c>
      <c r="J34" s="58" t="inlineStr">
        <is>
          <t>Hayır</t>
        </is>
      </c>
      <c r="K34" s="55" t="inlineStr">
        <is>
          <t>Hayır</t>
        </is>
      </c>
      <c r="L34" s="59" t="inlineStr">
        <is>
          <t>Yok</t>
        </is>
      </c>
      <c r="M34" s="59" t="inlineStr"/>
      <c r="N34" s="55" t="inlineStr">
        <is>
          <t>Hayır</t>
        </is>
      </c>
      <c r="O34" s="55" t="inlineStr">
        <is>
          <t>Evet</t>
        </is>
      </c>
      <c r="P34" s="60" t="n"/>
      <c r="Q34" s="57" t="n"/>
      <c r="R34" s="59" t="inlineStr">
        <is>
          <t>Oto-test R10</t>
        </is>
      </c>
      <c r="S34" s="61">
        <f>IF(OR(K34="Evet",N34="Evet",H34="FAIL"),"🚩","")</f>
        <v/>
      </c>
    </row>
    <row r="35" ht="15" customHeight="1" s="49">
      <c r="A35" s="53">
        <f>IF(B35="","",ROW()-4)</f>
        <v/>
      </c>
      <c r="B35" s="54" t="inlineStr">
        <is>
          <t>2026-05-06 13:56</t>
        </is>
      </c>
      <c r="C35" s="55" t="inlineStr">
        <is>
          <t>AutoTester_v2</t>
        </is>
      </c>
      <c r="D35" s="55" t="inlineStr">
        <is>
          <t>S04</t>
        </is>
      </c>
      <c r="E35" s="56" t="n"/>
      <c r="F35" s="56" t="n"/>
      <c r="G35" s="55" t="n"/>
      <c r="H35" s="55" t="inlineStr">
        <is>
          <t>PASS</t>
        </is>
      </c>
      <c r="I35" s="57" t="n">
        <v>8</v>
      </c>
      <c r="J35" s="58" t="inlineStr">
        <is>
          <t>Hayır</t>
        </is>
      </c>
      <c r="K35" s="55" t="inlineStr">
        <is>
          <t>Hayır</t>
        </is>
      </c>
      <c r="L35" s="59" t="inlineStr">
        <is>
          <t>Yok</t>
        </is>
      </c>
      <c r="M35" s="59" t="inlineStr"/>
      <c r="N35" s="55" t="inlineStr">
        <is>
          <t>Hayır</t>
        </is>
      </c>
      <c r="O35" s="55" t="inlineStr">
        <is>
          <t>Evet</t>
        </is>
      </c>
      <c r="P35" s="60" t="n"/>
      <c r="Q35" s="57" t="n"/>
      <c r="R35" s="59" t="inlineStr">
        <is>
          <t>Oto-test R1</t>
        </is>
      </c>
      <c r="S35" s="61">
        <f>IF(OR(K35="Evet",N35="Evet",H35="FAIL"),"🚩","")</f>
        <v/>
      </c>
    </row>
    <row r="36" ht="15" customHeight="1" s="49">
      <c r="A36" s="53">
        <f>IF(B36="","",ROW()-4)</f>
        <v/>
      </c>
      <c r="B36" s="54" t="inlineStr">
        <is>
          <t>2026-05-06 13:56</t>
        </is>
      </c>
      <c r="C36" s="55" t="inlineStr">
        <is>
          <t>AutoTester_v2</t>
        </is>
      </c>
      <c r="D36" s="55" t="inlineStr">
        <is>
          <t>S04</t>
        </is>
      </c>
      <c r="E36" s="56" t="n"/>
      <c r="F36" s="56" t="n"/>
      <c r="G36" s="55" t="n"/>
      <c r="H36" s="55" t="inlineStr">
        <is>
          <t>PASS</t>
        </is>
      </c>
      <c r="I36" s="57" t="n">
        <v>8</v>
      </c>
      <c r="J36" s="58" t="inlineStr">
        <is>
          <t>Hayır</t>
        </is>
      </c>
      <c r="K36" s="55" t="inlineStr">
        <is>
          <t>Hayır</t>
        </is>
      </c>
      <c r="L36" s="59" t="inlineStr">
        <is>
          <t>Yok</t>
        </is>
      </c>
      <c r="M36" s="59" t="inlineStr"/>
      <c r="N36" s="55" t="inlineStr">
        <is>
          <t>Hayır</t>
        </is>
      </c>
      <c r="O36" s="55" t="inlineStr">
        <is>
          <t>Evet</t>
        </is>
      </c>
      <c r="P36" s="60" t="n"/>
      <c r="Q36" s="57" t="n"/>
      <c r="R36" s="59" t="inlineStr">
        <is>
          <t>Oto-test R2</t>
        </is>
      </c>
      <c r="S36" s="61">
        <f>IF(OR(K36="Evet",N36="Evet",H36="FAIL"),"🚩","")</f>
        <v/>
      </c>
    </row>
    <row r="37" ht="15" customHeight="1" s="49">
      <c r="A37" s="53">
        <f>IF(B37="","",ROW()-4)</f>
        <v/>
      </c>
      <c r="B37" s="54" t="inlineStr">
        <is>
          <t>2026-05-06 13:56</t>
        </is>
      </c>
      <c r="C37" s="55" t="inlineStr">
        <is>
          <t>AutoTester_v2</t>
        </is>
      </c>
      <c r="D37" s="55" t="inlineStr">
        <is>
          <t>S04</t>
        </is>
      </c>
      <c r="E37" s="56" t="n"/>
      <c r="F37" s="56" t="n"/>
      <c r="G37" s="55" t="n"/>
      <c r="H37" s="55" t="inlineStr">
        <is>
          <t>FAIL</t>
        </is>
      </c>
      <c r="I37" s="57" t="n">
        <v>8</v>
      </c>
      <c r="J37" s="58" t="inlineStr">
        <is>
          <t>Hayır</t>
        </is>
      </c>
      <c r="K37" s="55" t="inlineStr">
        <is>
          <t>Evet</t>
        </is>
      </c>
      <c r="L37" s="59" t="inlineStr">
        <is>
          <t>Uydurma Parça</t>
        </is>
      </c>
      <c r="M37" s="59" t="inlineStr">
        <is>
          <t>'wiper switch' arızalı gösterildi</t>
        </is>
      </c>
      <c r="N37" s="55" t="inlineStr">
        <is>
          <t>Hayır</t>
        </is>
      </c>
      <c r="O37" s="55" t="inlineStr">
        <is>
          <t>Evet</t>
        </is>
      </c>
      <c r="P37" s="60" t="n"/>
      <c r="Q37" s="57" t="n"/>
      <c r="R37" s="59" t="inlineStr">
        <is>
          <t>Oto-test R3</t>
        </is>
      </c>
      <c r="S37" s="61">
        <f>IF(OR(K37="Evet",N37="Evet",H37="FAIL"),"🚩","")</f>
        <v/>
      </c>
    </row>
    <row r="38" ht="15" customHeight="1" s="49">
      <c r="A38" s="53">
        <f>IF(B38="","",ROW()-4)</f>
        <v/>
      </c>
      <c r="B38" s="54" t="inlineStr">
        <is>
          <t>2026-05-06 13:56</t>
        </is>
      </c>
      <c r="C38" s="55" t="inlineStr">
        <is>
          <t>AutoTester_v2</t>
        </is>
      </c>
      <c r="D38" s="55" t="inlineStr">
        <is>
          <t>S04</t>
        </is>
      </c>
      <c r="E38" s="56" t="n"/>
      <c r="F38" s="56" t="n"/>
      <c r="G38" s="55" t="n"/>
      <c r="H38" s="55" t="inlineStr">
        <is>
          <t>PASS</t>
        </is>
      </c>
      <c r="I38" s="57" t="n">
        <v>8</v>
      </c>
      <c r="J38" s="58" t="inlineStr">
        <is>
          <t>Hayır</t>
        </is>
      </c>
      <c r="K38" s="55" t="inlineStr">
        <is>
          <t>Hayır</t>
        </is>
      </c>
      <c r="L38" s="59" t="inlineStr">
        <is>
          <t>Yok</t>
        </is>
      </c>
      <c r="M38" s="59" t="inlineStr"/>
      <c r="N38" s="55" t="inlineStr">
        <is>
          <t>Hayır</t>
        </is>
      </c>
      <c r="O38" s="55" t="inlineStr">
        <is>
          <t>Evet</t>
        </is>
      </c>
      <c r="P38" s="60" t="n"/>
      <c r="Q38" s="57" t="n"/>
      <c r="R38" s="59" t="inlineStr">
        <is>
          <t>Oto-test R4</t>
        </is>
      </c>
      <c r="S38" s="61">
        <f>IF(OR(K38="Evet",N38="Evet",H38="FAIL"),"🚩","")</f>
        <v/>
      </c>
    </row>
    <row r="39" ht="15" customHeight="1" s="49">
      <c r="A39" s="53">
        <f>IF(B39="","",ROW()-4)</f>
        <v/>
      </c>
      <c r="B39" s="54" t="inlineStr">
        <is>
          <t>2026-05-06 13:56</t>
        </is>
      </c>
      <c r="C39" s="55" t="inlineStr">
        <is>
          <t>AutoTester_v2</t>
        </is>
      </c>
      <c r="D39" s="55" t="inlineStr">
        <is>
          <t>S04</t>
        </is>
      </c>
      <c r="E39" s="56" t="n"/>
      <c r="F39" s="56" t="n"/>
      <c r="G39" s="55" t="n"/>
      <c r="H39" s="55" t="inlineStr">
        <is>
          <t>PASS</t>
        </is>
      </c>
      <c r="I39" s="57" t="n">
        <v>8</v>
      </c>
      <c r="J39" s="58" t="inlineStr">
        <is>
          <t>Hayır</t>
        </is>
      </c>
      <c r="K39" s="55" t="inlineStr">
        <is>
          <t>Hayır</t>
        </is>
      </c>
      <c r="L39" s="59" t="inlineStr">
        <is>
          <t>Yok</t>
        </is>
      </c>
      <c r="M39" s="59" t="inlineStr"/>
      <c r="N39" s="55" t="inlineStr">
        <is>
          <t>Hayır</t>
        </is>
      </c>
      <c r="O39" s="55" t="inlineStr">
        <is>
          <t>Evet</t>
        </is>
      </c>
      <c r="P39" s="60" t="n"/>
      <c r="Q39" s="57" t="n"/>
      <c r="R39" s="59" t="inlineStr">
        <is>
          <t>Oto-test R5</t>
        </is>
      </c>
      <c r="S39" s="61">
        <f>IF(OR(K39="Evet",N39="Evet",H39="FAIL"),"🚩","")</f>
        <v/>
      </c>
    </row>
    <row r="40" ht="15" customHeight="1" s="49">
      <c r="A40" s="53">
        <f>IF(B40="","",ROW()-4)</f>
        <v/>
      </c>
      <c r="B40" s="54" t="inlineStr">
        <is>
          <t>2026-05-06 13:57</t>
        </is>
      </c>
      <c r="C40" s="55" t="inlineStr">
        <is>
          <t>AutoTester_v2</t>
        </is>
      </c>
      <c r="D40" s="55" t="inlineStr">
        <is>
          <t>S04</t>
        </is>
      </c>
      <c r="E40" s="56" t="n"/>
      <c r="F40" s="56" t="n"/>
      <c r="G40" s="55" t="n"/>
      <c r="H40" s="55" t="inlineStr">
        <is>
          <t>PASS</t>
        </is>
      </c>
      <c r="I40" s="57" t="n">
        <v>8</v>
      </c>
      <c r="J40" s="58" t="inlineStr">
        <is>
          <t>Hayır</t>
        </is>
      </c>
      <c r="K40" s="55" t="inlineStr">
        <is>
          <t>Hayır</t>
        </is>
      </c>
      <c r="L40" s="59" t="inlineStr">
        <is>
          <t>Yok</t>
        </is>
      </c>
      <c r="M40" s="59" t="inlineStr"/>
      <c r="N40" s="55" t="inlineStr">
        <is>
          <t>Hayır</t>
        </is>
      </c>
      <c r="O40" s="55" t="inlineStr">
        <is>
          <t>Evet</t>
        </is>
      </c>
      <c r="P40" s="60" t="n"/>
      <c r="Q40" s="57" t="n"/>
      <c r="R40" s="59" t="inlineStr">
        <is>
          <t>Oto-test R6</t>
        </is>
      </c>
      <c r="S40" s="61">
        <f>IF(OR(K40="Evet",N40="Evet",H40="FAIL"),"🚩","")</f>
        <v/>
      </c>
    </row>
    <row r="41" ht="15" customHeight="1" s="49">
      <c r="A41" s="53">
        <f>IF(B41="","",ROW()-4)</f>
        <v/>
      </c>
      <c r="B41" s="54" t="inlineStr">
        <is>
          <t>2026-05-06 13:57</t>
        </is>
      </c>
      <c r="C41" s="55" t="inlineStr">
        <is>
          <t>AutoTester_v2</t>
        </is>
      </c>
      <c r="D41" s="55" t="inlineStr">
        <is>
          <t>S04</t>
        </is>
      </c>
      <c r="E41" s="56" t="n"/>
      <c r="F41" s="56" t="n"/>
      <c r="G41" s="55" t="n"/>
      <c r="H41" s="55" t="inlineStr">
        <is>
          <t>FAIL</t>
        </is>
      </c>
      <c r="I41" s="57" t="n">
        <v>8</v>
      </c>
      <c r="J41" s="58" t="inlineStr">
        <is>
          <t>Hayır</t>
        </is>
      </c>
      <c r="K41" s="55" t="inlineStr">
        <is>
          <t>Evet</t>
        </is>
      </c>
      <c r="L41" s="59" t="inlineStr">
        <is>
          <t>Uydurma Parça</t>
        </is>
      </c>
      <c r="M41" s="59" t="inlineStr">
        <is>
          <t>'wiper switch' arızalı gösterildi</t>
        </is>
      </c>
      <c r="N41" s="55" t="inlineStr">
        <is>
          <t>Hayır</t>
        </is>
      </c>
      <c r="O41" s="55" t="inlineStr">
        <is>
          <t>Evet</t>
        </is>
      </c>
      <c r="P41" s="60" t="n"/>
      <c r="Q41" s="57" t="n"/>
      <c r="R41" s="59" t="inlineStr">
        <is>
          <t>Oto-test R7</t>
        </is>
      </c>
      <c r="S41" s="61">
        <f>IF(OR(K41="Evet",N41="Evet",H41="FAIL"),"🚩","")</f>
        <v/>
      </c>
    </row>
    <row r="42" ht="15" customHeight="1" s="49">
      <c r="A42" s="53">
        <f>IF(B42="","",ROW()-4)</f>
        <v/>
      </c>
      <c r="B42" s="54" t="inlineStr">
        <is>
          <t>2026-05-06 13:57</t>
        </is>
      </c>
      <c r="C42" s="55" t="inlineStr">
        <is>
          <t>AutoTester_v2</t>
        </is>
      </c>
      <c r="D42" s="55" t="inlineStr">
        <is>
          <t>S04</t>
        </is>
      </c>
      <c r="E42" s="56" t="n"/>
      <c r="F42" s="56" t="n"/>
      <c r="G42" s="55" t="n"/>
      <c r="H42" s="55" t="inlineStr">
        <is>
          <t>PASS</t>
        </is>
      </c>
      <c r="I42" s="57" t="n">
        <v>8</v>
      </c>
      <c r="J42" s="58" t="inlineStr">
        <is>
          <t>Hayır</t>
        </is>
      </c>
      <c r="K42" s="55" t="inlineStr">
        <is>
          <t>Hayır</t>
        </is>
      </c>
      <c r="L42" s="59" t="inlineStr">
        <is>
          <t>Yok</t>
        </is>
      </c>
      <c r="M42" s="59" t="inlineStr"/>
      <c r="N42" s="55" t="inlineStr">
        <is>
          <t>Hayır</t>
        </is>
      </c>
      <c r="O42" s="55" t="inlineStr">
        <is>
          <t>Evet</t>
        </is>
      </c>
      <c r="P42" s="60" t="n"/>
      <c r="Q42" s="57" t="n"/>
      <c r="R42" s="59" t="inlineStr">
        <is>
          <t>Oto-test R8</t>
        </is>
      </c>
      <c r="S42" s="61">
        <f>IF(OR(K42="Evet",N42="Evet",H42="FAIL"),"🚩","")</f>
        <v/>
      </c>
    </row>
    <row r="43" ht="15" customHeight="1" s="49">
      <c r="A43" s="53">
        <f>IF(B43="","",ROW()-4)</f>
        <v/>
      </c>
      <c r="B43" s="54" t="inlineStr">
        <is>
          <t>2026-05-06 13:57</t>
        </is>
      </c>
      <c r="C43" s="55" t="inlineStr">
        <is>
          <t>AutoTester_v2</t>
        </is>
      </c>
      <c r="D43" s="55" t="inlineStr">
        <is>
          <t>S04</t>
        </is>
      </c>
      <c r="E43" s="56" t="n"/>
      <c r="F43" s="56" t="n"/>
      <c r="G43" s="55" t="n"/>
      <c r="H43" s="55" t="inlineStr">
        <is>
          <t>PASS</t>
        </is>
      </c>
      <c r="I43" s="57" t="n">
        <v>8</v>
      </c>
      <c r="J43" s="58" t="inlineStr">
        <is>
          <t>Hayır</t>
        </is>
      </c>
      <c r="K43" s="55" t="inlineStr">
        <is>
          <t>Hayır</t>
        </is>
      </c>
      <c r="L43" s="59" t="inlineStr">
        <is>
          <t>Yok</t>
        </is>
      </c>
      <c r="M43" s="59" t="inlineStr"/>
      <c r="N43" s="55" t="inlineStr">
        <is>
          <t>Hayır</t>
        </is>
      </c>
      <c r="O43" s="55" t="inlineStr">
        <is>
          <t>Evet</t>
        </is>
      </c>
      <c r="P43" s="60" t="n"/>
      <c r="Q43" s="57" t="n"/>
      <c r="R43" s="59" t="inlineStr">
        <is>
          <t>Oto-test R9</t>
        </is>
      </c>
      <c r="S43" s="61">
        <f>IF(OR(K43="Evet",N43="Evet",H43="FAIL"),"🚩","")</f>
        <v/>
      </c>
    </row>
    <row r="44" ht="15" customHeight="1" s="49">
      <c r="A44" s="53">
        <f>IF(B44="","",ROW()-4)</f>
        <v/>
      </c>
      <c r="B44" s="54" t="inlineStr">
        <is>
          <t>2026-05-06 13:57</t>
        </is>
      </c>
      <c r="C44" s="55" t="inlineStr">
        <is>
          <t>AutoTester_v2</t>
        </is>
      </c>
      <c r="D44" s="55" t="inlineStr">
        <is>
          <t>S04</t>
        </is>
      </c>
      <c r="E44" s="56" t="n"/>
      <c r="F44" s="56" t="n"/>
      <c r="G44" s="55" t="n"/>
      <c r="H44" s="55" t="inlineStr">
        <is>
          <t>PASS</t>
        </is>
      </c>
      <c r="I44" s="57" t="n">
        <v>8</v>
      </c>
      <c r="J44" s="58" t="inlineStr">
        <is>
          <t>Hayır</t>
        </is>
      </c>
      <c r="K44" s="55" t="inlineStr">
        <is>
          <t>Hayır</t>
        </is>
      </c>
      <c r="L44" s="59" t="inlineStr">
        <is>
          <t>Yok</t>
        </is>
      </c>
      <c r="M44" s="59" t="inlineStr"/>
      <c r="N44" s="55" t="inlineStr">
        <is>
          <t>Hayır</t>
        </is>
      </c>
      <c r="O44" s="55" t="inlineStr">
        <is>
          <t>Evet</t>
        </is>
      </c>
      <c r="P44" s="60" t="n"/>
      <c r="Q44" s="57" t="n"/>
      <c r="R44" s="59" t="inlineStr">
        <is>
          <t>Oto-test R10</t>
        </is>
      </c>
      <c r="S44" s="61">
        <f>IF(OR(K44="Evet",N44="Evet",H44="FAIL"),"🚩","")</f>
        <v/>
      </c>
    </row>
    <row r="45" ht="15" customHeight="1" s="49">
      <c r="A45" s="53">
        <f>IF(B45="","",ROW()-4)</f>
        <v/>
      </c>
      <c r="B45" s="54" t="inlineStr">
        <is>
          <t>2026-05-06 13:57</t>
        </is>
      </c>
      <c r="C45" s="55" t="inlineStr">
        <is>
          <t>AutoTester_v2</t>
        </is>
      </c>
      <c r="D45" s="55" t="inlineStr">
        <is>
          <t>S05</t>
        </is>
      </c>
      <c r="E45" s="56" t="n"/>
      <c r="F45" s="56" t="n"/>
      <c r="G45" s="55" t="n"/>
      <c r="H45" s="55" t="inlineStr">
        <is>
          <t>FAIL</t>
        </is>
      </c>
      <c r="I45" s="57" t="n">
        <v>8</v>
      </c>
      <c r="J45" s="58" t="inlineStr">
        <is>
          <t>Hayır</t>
        </is>
      </c>
      <c r="K45" s="55" t="inlineStr">
        <is>
          <t>Evet</t>
        </is>
      </c>
      <c r="L45" s="59" t="inlineStr">
        <is>
          <t>Uydurma Parça</t>
        </is>
      </c>
      <c r="M45" s="59" t="inlineStr">
        <is>
          <t>Olmayan bir test için detaylı/sayısal sonuç uyduru</t>
        </is>
      </c>
      <c r="N45" s="55" t="inlineStr">
        <is>
          <t>Hayır</t>
        </is>
      </c>
      <c r="O45" s="55" t="inlineStr">
        <is>
          <t>Evet</t>
        </is>
      </c>
      <c r="P45" s="60" t="n"/>
      <c r="Q45" s="57" t="n"/>
      <c r="R45" s="59" t="inlineStr">
        <is>
          <t>Oto-test R1</t>
        </is>
      </c>
      <c r="S45" s="61">
        <f>IF(OR(K45="Evet",N45="Evet",H45="FAIL"),"🚩","")</f>
        <v/>
      </c>
    </row>
    <row r="46" ht="15" customHeight="1" s="49">
      <c r="A46" s="53">
        <f>IF(B46="","",ROW()-4)</f>
        <v/>
      </c>
      <c r="B46" s="54" t="inlineStr">
        <is>
          <t>2026-05-06 13:58</t>
        </is>
      </c>
      <c r="C46" s="55" t="inlineStr">
        <is>
          <t>AutoTester_v2</t>
        </is>
      </c>
      <c r="D46" s="55" t="inlineStr">
        <is>
          <t>S05</t>
        </is>
      </c>
      <c r="E46" s="56" t="n"/>
      <c r="F46" s="56" t="n"/>
      <c r="G46" s="55" t="n"/>
      <c r="H46" s="55" t="inlineStr">
        <is>
          <t>FAIL</t>
        </is>
      </c>
      <c r="I46" s="57" t="n">
        <v>8</v>
      </c>
      <c r="J46" s="58" t="inlineStr">
        <is>
          <t>Hayır</t>
        </is>
      </c>
      <c r="K46" s="55" t="inlineStr">
        <is>
          <t>Evet</t>
        </is>
      </c>
      <c r="L46" s="59" t="inlineStr">
        <is>
          <t>Uydurma Parça</t>
        </is>
      </c>
      <c r="M46" s="59" t="inlineStr">
        <is>
          <t>Olmayan bir test için detaylı/sayısal sonuç uyduru</t>
        </is>
      </c>
      <c r="N46" s="55" t="inlineStr">
        <is>
          <t>Hayır</t>
        </is>
      </c>
      <c r="O46" s="55" t="inlineStr">
        <is>
          <t>Evet</t>
        </is>
      </c>
      <c r="P46" s="60" t="n"/>
      <c r="Q46" s="57" t="n"/>
      <c r="R46" s="59" t="inlineStr">
        <is>
          <t>Oto-test R2</t>
        </is>
      </c>
      <c r="S46" s="61">
        <f>IF(OR(K46="Evet",N46="Evet",H46="FAIL"),"🚩","")</f>
        <v/>
      </c>
    </row>
    <row r="47" ht="15" customHeight="1" s="49">
      <c r="A47" s="53">
        <f>IF(B47="","",ROW()-4)</f>
        <v/>
      </c>
      <c r="B47" s="54" t="inlineStr">
        <is>
          <t>2026-05-06 13:58</t>
        </is>
      </c>
      <c r="C47" s="55" t="inlineStr">
        <is>
          <t>AutoTester_v2</t>
        </is>
      </c>
      <c r="D47" s="55" t="inlineStr">
        <is>
          <t>S05</t>
        </is>
      </c>
      <c r="E47" s="56" t="n"/>
      <c r="F47" s="56" t="n"/>
      <c r="G47" s="55" t="n"/>
      <c r="H47" s="55" t="inlineStr">
        <is>
          <t>FAIL</t>
        </is>
      </c>
      <c r="I47" s="57" t="n">
        <v>8</v>
      </c>
      <c r="J47" s="58" t="inlineStr">
        <is>
          <t>Hayır</t>
        </is>
      </c>
      <c r="K47" s="55" t="inlineStr">
        <is>
          <t>Evet</t>
        </is>
      </c>
      <c r="L47" s="59" t="inlineStr">
        <is>
          <t>Uydurma Parça</t>
        </is>
      </c>
      <c r="M47" s="59" t="inlineStr">
        <is>
          <t>Olmayan bir test için detaylı/sayısal sonuç uyduru</t>
        </is>
      </c>
      <c r="N47" s="55" t="inlineStr">
        <is>
          <t>Hayır</t>
        </is>
      </c>
      <c r="O47" s="55" t="inlineStr">
        <is>
          <t>Evet</t>
        </is>
      </c>
      <c r="P47" s="60" t="n"/>
      <c r="Q47" s="57" t="n"/>
      <c r="R47" s="59" t="inlineStr">
        <is>
          <t>Oto-test R3</t>
        </is>
      </c>
      <c r="S47" s="61">
        <f>IF(OR(K47="Evet",N47="Evet",H47="FAIL"),"🚩","")</f>
        <v/>
      </c>
    </row>
    <row r="48" ht="15" customHeight="1" s="49">
      <c r="A48" s="53">
        <f>IF(B48="","",ROW()-4)</f>
        <v/>
      </c>
      <c r="B48" s="54" t="inlineStr">
        <is>
          <t>2026-05-06 13:58</t>
        </is>
      </c>
      <c r="C48" s="55" t="inlineStr">
        <is>
          <t>AutoTester_v2</t>
        </is>
      </c>
      <c r="D48" s="55" t="inlineStr">
        <is>
          <t>S05</t>
        </is>
      </c>
      <c r="E48" s="56" t="n"/>
      <c r="F48" s="56" t="n"/>
      <c r="G48" s="55" t="n"/>
      <c r="H48" s="55" t="inlineStr">
        <is>
          <t>FAIL</t>
        </is>
      </c>
      <c r="I48" s="57" t="n">
        <v>8</v>
      </c>
      <c r="J48" s="58" t="inlineStr">
        <is>
          <t>Hayır</t>
        </is>
      </c>
      <c r="K48" s="55" t="inlineStr">
        <is>
          <t>Evet</t>
        </is>
      </c>
      <c r="L48" s="59" t="inlineStr">
        <is>
          <t>Uydurma Parça</t>
        </is>
      </c>
      <c r="M48" s="59" t="inlineStr">
        <is>
          <t>Olmayan bir test için detaylı/sayısal sonuç uyduru</t>
        </is>
      </c>
      <c r="N48" s="55" t="inlineStr">
        <is>
          <t>Hayır</t>
        </is>
      </c>
      <c r="O48" s="55" t="inlineStr">
        <is>
          <t>Evet</t>
        </is>
      </c>
      <c r="P48" s="60" t="n"/>
      <c r="Q48" s="57" t="n"/>
      <c r="R48" s="59" t="inlineStr">
        <is>
          <t>Oto-test R4</t>
        </is>
      </c>
      <c r="S48" s="61">
        <f>IF(OR(K48="Evet",N48="Evet",H48="FAIL"),"🚩","")</f>
        <v/>
      </c>
    </row>
    <row r="49" ht="15" customHeight="1" s="49">
      <c r="A49" s="53">
        <f>IF(B49="","",ROW()-4)</f>
        <v/>
      </c>
      <c r="B49" s="54" t="inlineStr">
        <is>
          <t>2026-05-06 13:58</t>
        </is>
      </c>
      <c r="C49" s="55" t="inlineStr">
        <is>
          <t>AutoTester_v2</t>
        </is>
      </c>
      <c r="D49" s="55" t="inlineStr">
        <is>
          <t>S05</t>
        </is>
      </c>
      <c r="E49" s="56" t="n"/>
      <c r="F49" s="56" t="n"/>
      <c r="G49" s="55" t="n"/>
      <c r="H49" s="55" t="inlineStr">
        <is>
          <t>FAIL</t>
        </is>
      </c>
      <c r="I49" s="57" t="n">
        <v>8</v>
      </c>
      <c r="J49" s="58" t="inlineStr">
        <is>
          <t>Hayır</t>
        </is>
      </c>
      <c r="K49" s="55" t="inlineStr">
        <is>
          <t>Evet</t>
        </is>
      </c>
      <c r="L49" s="59" t="inlineStr">
        <is>
          <t>Uydurma Parça</t>
        </is>
      </c>
      <c r="M49" s="59" t="inlineStr">
        <is>
          <t>Olmayan bir test için detaylı/sayısal sonuç uyduru</t>
        </is>
      </c>
      <c r="N49" s="55" t="inlineStr">
        <is>
          <t>Hayır</t>
        </is>
      </c>
      <c r="O49" s="55" t="inlineStr">
        <is>
          <t>Evet</t>
        </is>
      </c>
      <c r="P49" s="60" t="n"/>
      <c r="Q49" s="57" t="n"/>
      <c r="R49" s="59" t="inlineStr">
        <is>
          <t>Oto-test R5</t>
        </is>
      </c>
      <c r="S49" s="61">
        <f>IF(OR(K49="Evet",N49="Evet",H49="FAIL"),"🚩","")</f>
        <v/>
      </c>
    </row>
    <row r="50" ht="15" customHeight="1" s="49">
      <c r="A50" s="53">
        <f>IF(B50="","",ROW()-4)</f>
        <v/>
      </c>
      <c r="B50" s="54" t="inlineStr">
        <is>
          <t>2026-05-06 13:58</t>
        </is>
      </c>
      <c r="C50" s="55" t="inlineStr">
        <is>
          <t>AutoTester_v2</t>
        </is>
      </c>
      <c r="D50" s="55" t="inlineStr">
        <is>
          <t>S05</t>
        </is>
      </c>
      <c r="E50" s="56" t="n"/>
      <c r="F50" s="56" t="n"/>
      <c r="G50" s="55" t="n"/>
      <c r="H50" s="55" t="inlineStr">
        <is>
          <t>FAIL</t>
        </is>
      </c>
      <c r="I50" s="57" t="n">
        <v>8</v>
      </c>
      <c r="J50" s="58" t="inlineStr">
        <is>
          <t>Hayır</t>
        </is>
      </c>
      <c r="K50" s="55" t="inlineStr">
        <is>
          <t>Evet</t>
        </is>
      </c>
      <c r="L50" s="59" t="inlineStr">
        <is>
          <t>Uydurma Parça</t>
        </is>
      </c>
      <c r="M50" s="59" t="inlineStr">
        <is>
          <t>Olmayan bir test için detaylı/sayısal sonuç uyduru</t>
        </is>
      </c>
      <c r="N50" s="55" t="inlineStr">
        <is>
          <t>Hayır</t>
        </is>
      </c>
      <c r="O50" s="55" t="inlineStr">
        <is>
          <t>Evet</t>
        </is>
      </c>
      <c r="P50" s="60" t="n"/>
      <c r="Q50" s="57" t="n"/>
      <c r="R50" s="59" t="inlineStr">
        <is>
          <t>Oto-test R6</t>
        </is>
      </c>
      <c r="S50" s="61">
        <f>IF(OR(K50="Evet",N50="Evet",H50="FAIL"),"🚩","")</f>
        <v/>
      </c>
    </row>
    <row r="51" ht="15" customHeight="1" s="49">
      <c r="A51" s="53">
        <f>IF(B51="","",ROW()-4)</f>
        <v/>
      </c>
      <c r="B51" s="54" t="inlineStr">
        <is>
          <t>2026-05-06 13:58</t>
        </is>
      </c>
      <c r="C51" s="55" t="inlineStr">
        <is>
          <t>AutoTester_v2</t>
        </is>
      </c>
      <c r="D51" s="55" t="inlineStr">
        <is>
          <t>S05</t>
        </is>
      </c>
      <c r="E51" s="56" t="n"/>
      <c r="F51" s="56" t="n"/>
      <c r="G51" s="55" t="n"/>
      <c r="H51" s="55" t="inlineStr">
        <is>
          <t>FAIL</t>
        </is>
      </c>
      <c r="I51" s="57" t="n">
        <v>8</v>
      </c>
      <c r="J51" s="58" t="inlineStr">
        <is>
          <t>Hayır</t>
        </is>
      </c>
      <c r="K51" s="55" t="inlineStr">
        <is>
          <t>Evet</t>
        </is>
      </c>
      <c r="L51" s="59" t="inlineStr">
        <is>
          <t>Uydurma Parça</t>
        </is>
      </c>
      <c r="M51" s="59" t="inlineStr">
        <is>
          <t>Olmayan bir test için detaylı/sayısal sonuç uyduru</t>
        </is>
      </c>
      <c r="N51" s="55" t="inlineStr">
        <is>
          <t>Hayır</t>
        </is>
      </c>
      <c r="O51" s="55" t="inlineStr">
        <is>
          <t>Evet</t>
        </is>
      </c>
      <c r="P51" s="60" t="n"/>
      <c r="Q51" s="57" t="n"/>
      <c r="R51" s="59" t="inlineStr">
        <is>
          <t>Oto-test R7</t>
        </is>
      </c>
      <c r="S51" s="61">
        <f>IF(OR(K51="Evet",N51="Evet",H51="FAIL"),"🚩","")</f>
        <v/>
      </c>
    </row>
    <row r="52" ht="15" customHeight="1" s="49">
      <c r="A52" s="53">
        <f>IF(B52="","",ROW()-4)</f>
        <v/>
      </c>
      <c r="B52" s="54" t="inlineStr">
        <is>
          <t>2026-05-06 13:59</t>
        </is>
      </c>
      <c r="C52" s="55" t="inlineStr">
        <is>
          <t>AutoTester_v2</t>
        </is>
      </c>
      <c r="D52" s="55" t="inlineStr">
        <is>
          <t>S05</t>
        </is>
      </c>
      <c r="E52" s="56" t="n"/>
      <c r="F52" s="56" t="n"/>
      <c r="G52" s="55" t="n"/>
      <c r="H52" s="55" t="inlineStr">
        <is>
          <t>FAIL</t>
        </is>
      </c>
      <c r="I52" s="57" t="n">
        <v>8</v>
      </c>
      <c r="J52" s="58" t="inlineStr">
        <is>
          <t>Hayır</t>
        </is>
      </c>
      <c r="K52" s="55" t="inlineStr">
        <is>
          <t>Evet</t>
        </is>
      </c>
      <c r="L52" s="59" t="inlineStr">
        <is>
          <t>Uydurma Parça</t>
        </is>
      </c>
      <c r="M52" s="59" t="inlineStr">
        <is>
          <t>Olmayan bir test için detaylı/sayısal sonuç uyduru</t>
        </is>
      </c>
      <c r="N52" s="55" t="inlineStr">
        <is>
          <t>Hayır</t>
        </is>
      </c>
      <c r="O52" s="55" t="inlineStr">
        <is>
          <t>Evet</t>
        </is>
      </c>
      <c r="P52" s="60" t="n"/>
      <c r="Q52" s="57" t="n"/>
      <c r="R52" s="59" t="inlineStr">
        <is>
          <t>Oto-test R8</t>
        </is>
      </c>
      <c r="S52" s="61">
        <f>IF(OR(K52="Evet",N52="Evet",H52="FAIL"),"🚩","")</f>
        <v/>
      </c>
    </row>
    <row r="53" ht="15" customHeight="1" s="49">
      <c r="A53" s="53">
        <f>IF(B53="","",ROW()-4)</f>
        <v/>
      </c>
      <c r="B53" s="54" t="inlineStr">
        <is>
          <t>2026-05-06 13:59</t>
        </is>
      </c>
      <c r="C53" s="55" t="inlineStr">
        <is>
          <t>AutoTester_v2</t>
        </is>
      </c>
      <c r="D53" s="55" t="inlineStr">
        <is>
          <t>S05</t>
        </is>
      </c>
      <c r="E53" s="56" t="n"/>
      <c r="F53" s="56" t="n"/>
      <c r="G53" s="55" t="n"/>
      <c r="H53" s="55" t="inlineStr">
        <is>
          <t>FAIL</t>
        </is>
      </c>
      <c r="I53" s="57" t="n">
        <v>8</v>
      </c>
      <c r="J53" s="58" t="inlineStr">
        <is>
          <t>Hayır</t>
        </is>
      </c>
      <c r="K53" s="55" t="inlineStr">
        <is>
          <t>Evet</t>
        </is>
      </c>
      <c r="L53" s="59" t="inlineStr">
        <is>
          <t>Uydurma Parça</t>
        </is>
      </c>
      <c r="M53" s="59" t="inlineStr">
        <is>
          <t>Olmayan bir test için detaylı/sayısal sonuç uyduru</t>
        </is>
      </c>
      <c r="N53" s="55" t="inlineStr">
        <is>
          <t>Hayır</t>
        </is>
      </c>
      <c r="O53" s="55" t="inlineStr">
        <is>
          <t>Evet</t>
        </is>
      </c>
      <c r="P53" s="60" t="n"/>
      <c r="Q53" s="57" t="n"/>
      <c r="R53" s="59" t="inlineStr">
        <is>
          <t>Oto-test R9</t>
        </is>
      </c>
      <c r="S53" s="61">
        <f>IF(OR(K53="Evet",N53="Evet",H53="FAIL"),"🚩","")</f>
        <v/>
      </c>
    </row>
    <row r="54" ht="15" customHeight="1" s="49">
      <c r="A54" s="53">
        <f>IF(B54="","",ROW()-4)</f>
        <v/>
      </c>
      <c r="B54" s="54" t="inlineStr">
        <is>
          <t>2026-05-06 13:59</t>
        </is>
      </c>
      <c r="C54" s="55" t="inlineStr">
        <is>
          <t>AutoTester_v2</t>
        </is>
      </c>
      <c r="D54" s="55" t="inlineStr">
        <is>
          <t>S05</t>
        </is>
      </c>
      <c r="E54" s="56" t="n"/>
      <c r="F54" s="56" t="n"/>
      <c r="G54" s="55" t="n"/>
      <c r="H54" s="55" t="inlineStr">
        <is>
          <t>FAIL</t>
        </is>
      </c>
      <c r="I54" s="57" t="n">
        <v>8</v>
      </c>
      <c r="J54" s="58" t="inlineStr">
        <is>
          <t>Hayır</t>
        </is>
      </c>
      <c r="K54" s="55" t="inlineStr">
        <is>
          <t>Evet</t>
        </is>
      </c>
      <c r="L54" s="59" t="inlineStr">
        <is>
          <t>Uydurma Parça</t>
        </is>
      </c>
      <c r="M54" s="59" t="inlineStr">
        <is>
          <t>Olmayan bir test için detaylı/sayısal sonuç uyduru</t>
        </is>
      </c>
      <c r="N54" s="55" t="inlineStr">
        <is>
          <t>Hayır</t>
        </is>
      </c>
      <c r="O54" s="55" t="inlineStr">
        <is>
          <t>Evet</t>
        </is>
      </c>
      <c r="P54" s="60" t="n"/>
      <c r="Q54" s="57" t="n"/>
      <c r="R54" s="59" t="inlineStr">
        <is>
          <t>Oto-test R10</t>
        </is>
      </c>
      <c r="S54" s="61">
        <f>IF(OR(K54="Evet",N54="Evet",H54="FAIL"),"🚩","")</f>
        <v/>
      </c>
    </row>
    <row r="55">
      <c r="A55" s="48">
        <f>IF(B55="","",ROW()-4)</f>
        <v/>
      </c>
      <c r="B55" s="48" t="inlineStr">
        <is>
          <t>2026-05-06 13:59</t>
        </is>
      </c>
      <c r="C55" s="48" t="inlineStr">
        <is>
          <t>AutoTester_v2</t>
        </is>
      </c>
      <c r="D55" s="48" t="inlineStr">
        <is>
          <t>S06</t>
        </is>
      </c>
      <c r="E55" s="48" t="n"/>
      <c r="F55" s="48" t="n"/>
      <c r="G55" s="48" t="n"/>
      <c r="H55" s="48" t="inlineStr">
        <is>
          <t>PASS</t>
        </is>
      </c>
      <c r="I55" s="48" t="n">
        <v>8</v>
      </c>
      <c r="J55" s="48" t="inlineStr">
        <is>
          <t>Hayır</t>
        </is>
      </c>
      <c r="K55" s="48" t="inlineStr">
        <is>
          <t>Hayır</t>
        </is>
      </c>
      <c r="L55" s="48" t="inlineStr">
        <is>
          <t>Yok</t>
        </is>
      </c>
      <c r="M55" s="48" t="inlineStr"/>
      <c r="N55" s="48" t="inlineStr">
        <is>
          <t>Hayır</t>
        </is>
      </c>
      <c r="O55" s="48" t="inlineStr">
        <is>
          <t>Evet</t>
        </is>
      </c>
      <c r="R55" s="48" t="inlineStr">
        <is>
          <t>Oto-test R1</t>
        </is>
      </c>
      <c r="S55" s="48">
        <f>IF(OR(K55="Evet",N55="Evet",H55="FAIL"),"🚩","")</f>
        <v/>
      </c>
    </row>
    <row r="56">
      <c r="A56" s="48">
        <f>IF(B56="","",ROW()-4)</f>
        <v/>
      </c>
      <c r="B56" s="48" t="inlineStr">
        <is>
          <t>2026-05-06 13:59</t>
        </is>
      </c>
      <c r="C56" s="48" t="inlineStr">
        <is>
          <t>AutoTester_v2</t>
        </is>
      </c>
      <c r="D56" s="48" t="inlineStr">
        <is>
          <t>S06</t>
        </is>
      </c>
      <c r="E56" s="48" t="n"/>
      <c r="F56" s="48" t="n"/>
      <c r="G56" s="48" t="n"/>
      <c r="H56" s="48" t="inlineStr">
        <is>
          <t>PASS</t>
        </is>
      </c>
      <c r="I56" s="48" t="n">
        <v>8</v>
      </c>
      <c r="J56" s="48" t="inlineStr">
        <is>
          <t>Hayır</t>
        </is>
      </c>
      <c r="K56" s="48" t="inlineStr">
        <is>
          <t>Hayır</t>
        </is>
      </c>
      <c r="L56" s="48" t="inlineStr">
        <is>
          <t>Yok</t>
        </is>
      </c>
      <c r="M56" s="48" t="inlineStr"/>
      <c r="N56" s="48" t="inlineStr">
        <is>
          <t>Hayır</t>
        </is>
      </c>
      <c r="O56" s="48" t="inlineStr">
        <is>
          <t>Evet</t>
        </is>
      </c>
      <c r="R56" s="48" t="inlineStr">
        <is>
          <t>Oto-test R2</t>
        </is>
      </c>
      <c r="S56" s="48">
        <f>IF(OR(K56="Evet",N56="Evet",H56="FAIL"),"🚩","")</f>
        <v/>
      </c>
    </row>
    <row r="57">
      <c r="A57" s="48">
        <f>IF(B57="","",ROW()-4)</f>
        <v/>
      </c>
      <c r="B57" s="48" t="inlineStr">
        <is>
          <t>2026-05-06 13:59</t>
        </is>
      </c>
      <c r="C57" s="48" t="inlineStr">
        <is>
          <t>AutoTester_v2</t>
        </is>
      </c>
      <c r="D57" s="48" t="inlineStr">
        <is>
          <t>S06</t>
        </is>
      </c>
      <c r="E57" s="48" t="n"/>
      <c r="F57" s="48" t="n"/>
      <c r="G57" s="48" t="n"/>
      <c r="H57" s="48" t="inlineStr">
        <is>
          <t>PASS</t>
        </is>
      </c>
      <c r="I57" s="48" t="n">
        <v>8</v>
      </c>
      <c r="J57" s="48" t="inlineStr">
        <is>
          <t>Hayır</t>
        </is>
      </c>
      <c r="K57" s="48" t="inlineStr">
        <is>
          <t>Hayır</t>
        </is>
      </c>
      <c r="L57" s="48" t="inlineStr">
        <is>
          <t>Yok</t>
        </is>
      </c>
      <c r="M57" s="48" t="inlineStr"/>
      <c r="N57" s="48" t="inlineStr">
        <is>
          <t>Hayır</t>
        </is>
      </c>
      <c r="O57" s="48" t="inlineStr">
        <is>
          <t>Evet</t>
        </is>
      </c>
      <c r="R57" s="48" t="inlineStr">
        <is>
          <t>Oto-test R3</t>
        </is>
      </c>
      <c r="S57" s="48">
        <f>IF(OR(K57="Evet",N57="Evet",H57="FAIL"),"🚩","")</f>
        <v/>
      </c>
    </row>
    <row r="58">
      <c r="A58" s="48">
        <f>IF(B58="","",ROW()-4)</f>
        <v/>
      </c>
      <c r="B58" s="48" t="inlineStr">
        <is>
          <t>2026-05-06 14:00</t>
        </is>
      </c>
      <c r="C58" s="48" t="inlineStr">
        <is>
          <t>AutoTester_v2</t>
        </is>
      </c>
      <c r="D58" s="48" t="inlineStr">
        <is>
          <t>S06</t>
        </is>
      </c>
      <c r="E58" s="48" t="n"/>
      <c r="F58" s="48" t="n"/>
      <c r="G58" s="48" t="n"/>
      <c r="H58" s="48" t="inlineStr">
        <is>
          <t>PASS</t>
        </is>
      </c>
      <c r="I58" s="48" t="n">
        <v>8</v>
      </c>
      <c r="J58" s="48" t="inlineStr">
        <is>
          <t>Hayır</t>
        </is>
      </c>
      <c r="K58" s="48" t="inlineStr">
        <is>
          <t>Hayır</t>
        </is>
      </c>
      <c r="L58" s="48" t="inlineStr">
        <is>
          <t>Yok</t>
        </is>
      </c>
      <c r="M58" s="48" t="inlineStr"/>
      <c r="N58" s="48" t="inlineStr">
        <is>
          <t>Hayır</t>
        </is>
      </c>
      <c r="O58" s="48" t="inlineStr">
        <is>
          <t>Evet</t>
        </is>
      </c>
      <c r="R58" s="48" t="inlineStr">
        <is>
          <t>Oto-test R4</t>
        </is>
      </c>
      <c r="S58" s="48">
        <f>IF(OR(K58="Evet",N58="Evet",H58="FAIL"),"🚩","")</f>
        <v/>
      </c>
    </row>
    <row r="59">
      <c r="A59" s="48">
        <f>IF(B59="","",ROW()-4)</f>
        <v/>
      </c>
      <c r="B59" s="48" t="inlineStr">
        <is>
          <t>2026-05-06 14:00</t>
        </is>
      </c>
      <c r="C59" s="48" t="inlineStr">
        <is>
          <t>AutoTester_v2</t>
        </is>
      </c>
      <c r="D59" s="48" t="inlineStr">
        <is>
          <t>S06</t>
        </is>
      </c>
      <c r="E59" s="48" t="n"/>
      <c r="F59" s="48" t="n"/>
      <c r="G59" s="48" t="n"/>
      <c r="H59" s="48" t="inlineStr">
        <is>
          <t>PASS</t>
        </is>
      </c>
      <c r="I59" s="48" t="n">
        <v>8</v>
      </c>
      <c r="J59" s="48" t="inlineStr">
        <is>
          <t>Hayır</t>
        </is>
      </c>
      <c r="K59" s="48" t="inlineStr">
        <is>
          <t>Hayır</t>
        </is>
      </c>
      <c r="L59" s="48" t="inlineStr">
        <is>
          <t>Yok</t>
        </is>
      </c>
      <c r="M59" s="48" t="inlineStr"/>
      <c r="N59" s="48" t="inlineStr">
        <is>
          <t>Hayır</t>
        </is>
      </c>
      <c r="O59" s="48" t="inlineStr">
        <is>
          <t>Evet</t>
        </is>
      </c>
      <c r="R59" s="48" t="inlineStr">
        <is>
          <t>Oto-test R5</t>
        </is>
      </c>
      <c r="S59" s="48">
        <f>IF(OR(K59="Evet",N59="Evet",H59="FAIL"),"🚩","")</f>
        <v/>
      </c>
    </row>
    <row r="60">
      <c r="A60" s="48">
        <f>IF(B60="","",ROW()-4)</f>
        <v/>
      </c>
      <c r="B60" s="48" t="inlineStr">
        <is>
          <t>2026-05-06 14:00</t>
        </is>
      </c>
      <c r="C60" s="48" t="inlineStr">
        <is>
          <t>AutoTester_v2</t>
        </is>
      </c>
      <c r="D60" s="48" t="inlineStr">
        <is>
          <t>S06</t>
        </is>
      </c>
      <c r="E60" s="48" t="n"/>
      <c r="F60" s="48" t="n"/>
      <c r="G60" s="48" t="n"/>
      <c r="H60" s="48" t="inlineStr">
        <is>
          <t>PASS</t>
        </is>
      </c>
      <c r="I60" s="48" t="n">
        <v>8</v>
      </c>
      <c r="J60" s="48" t="inlineStr">
        <is>
          <t>Hayır</t>
        </is>
      </c>
      <c r="K60" s="48" t="inlineStr">
        <is>
          <t>Hayır</t>
        </is>
      </c>
      <c r="L60" s="48" t="inlineStr">
        <is>
          <t>Yok</t>
        </is>
      </c>
      <c r="M60" s="48" t="inlineStr"/>
      <c r="N60" s="48" t="inlineStr">
        <is>
          <t>Hayır</t>
        </is>
      </c>
      <c r="O60" s="48" t="inlineStr">
        <is>
          <t>Evet</t>
        </is>
      </c>
      <c r="R60" s="48" t="inlineStr">
        <is>
          <t>Oto-test R6</t>
        </is>
      </c>
      <c r="S60" s="48">
        <f>IF(OR(K60="Evet",N60="Evet",H60="FAIL"),"🚩","")</f>
        <v/>
      </c>
    </row>
    <row r="61">
      <c r="A61" s="48">
        <f>IF(B61="","",ROW()-4)</f>
        <v/>
      </c>
      <c r="B61" s="48" t="inlineStr">
        <is>
          <t>2026-05-06 14:00</t>
        </is>
      </c>
      <c r="C61" s="48" t="inlineStr">
        <is>
          <t>AutoTester_v2</t>
        </is>
      </c>
      <c r="D61" s="48" t="inlineStr">
        <is>
          <t>S06</t>
        </is>
      </c>
      <c r="E61" s="48" t="n"/>
      <c r="F61" s="48" t="n"/>
      <c r="G61" s="48" t="n"/>
      <c r="H61" s="48" t="inlineStr">
        <is>
          <t>PASS</t>
        </is>
      </c>
      <c r="I61" s="48" t="n">
        <v>8</v>
      </c>
      <c r="J61" s="48" t="inlineStr">
        <is>
          <t>Hayır</t>
        </is>
      </c>
      <c r="K61" s="48" t="inlineStr">
        <is>
          <t>Hayır</t>
        </is>
      </c>
      <c r="L61" s="48" t="inlineStr">
        <is>
          <t>Yok</t>
        </is>
      </c>
      <c r="M61" s="48" t="inlineStr"/>
      <c r="N61" s="48" t="inlineStr">
        <is>
          <t>Hayır</t>
        </is>
      </c>
      <c r="O61" s="48" t="inlineStr">
        <is>
          <t>Evet</t>
        </is>
      </c>
      <c r="R61" s="48" t="inlineStr">
        <is>
          <t>Oto-test R7</t>
        </is>
      </c>
      <c r="S61" s="48">
        <f>IF(OR(K61="Evet",N61="Evet",H61="FAIL"),"🚩","")</f>
        <v/>
      </c>
    </row>
    <row r="62">
      <c r="A62" s="48">
        <f>IF(B62="","",ROW()-4)</f>
        <v/>
      </c>
      <c r="B62" s="48" t="inlineStr">
        <is>
          <t>2026-05-06 14:00</t>
        </is>
      </c>
      <c r="C62" s="48" t="inlineStr">
        <is>
          <t>AutoTester_v2</t>
        </is>
      </c>
      <c r="D62" s="48" t="inlineStr">
        <is>
          <t>S06</t>
        </is>
      </c>
      <c r="E62" s="48" t="n"/>
      <c r="F62" s="48" t="n"/>
      <c r="G62" s="48" t="n"/>
      <c r="H62" s="48" t="inlineStr">
        <is>
          <t>PASS</t>
        </is>
      </c>
      <c r="I62" s="48" t="n">
        <v>8</v>
      </c>
      <c r="J62" s="48" t="inlineStr">
        <is>
          <t>Hayır</t>
        </is>
      </c>
      <c r="K62" s="48" t="inlineStr">
        <is>
          <t>Hayır</t>
        </is>
      </c>
      <c r="L62" s="48" t="inlineStr">
        <is>
          <t>Yok</t>
        </is>
      </c>
      <c r="M62" s="48" t="inlineStr"/>
      <c r="N62" s="48" t="inlineStr">
        <is>
          <t>Hayır</t>
        </is>
      </c>
      <c r="O62" s="48" t="inlineStr">
        <is>
          <t>Evet</t>
        </is>
      </c>
      <c r="R62" s="48" t="inlineStr">
        <is>
          <t>Oto-test R8</t>
        </is>
      </c>
      <c r="S62" s="48">
        <f>IF(OR(K62="Evet",N62="Evet",H62="FAIL"),"🚩","")</f>
        <v/>
      </c>
    </row>
    <row r="63">
      <c r="A63" s="48">
        <f>IF(B63="","",ROW()-4)</f>
        <v/>
      </c>
      <c r="B63" s="48" t="inlineStr">
        <is>
          <t>2026-05-06 14:00</t>
        </is>
      </c>
      <c r="C63" s="48" t="inlineStr">
        <is>
          <t>AutoTester_v2</t>
        </is>
      </c>
      <c r="D63" s="48" t="inlineStr">
        <is>
          <t>S06</t>
        </is>
      </c>
      <c r="E63" s="48" t="n"/>
      <c r="F63" s="48" t="n"/>
      <c r="G63" s="48" t="n"/>
      <c r="H63" s="48" t="inlineStr">
        <is>
          <t>PASS</t>
        </is>
      </c>
      <c r="I63" s="48" t="n">
        <v>8</v>
      </c>
      <c r="J63" s="48" t="inlineStr">
        <is>
          <t>Hayır</t>
        </is>
      </c>
      <c r="K63" s="48" t="inlineStr">
        <is>
          <t>Hayır</t>
        </is>
      </c>
      <c r="L63" s="48" t="inlineStr">
        <is>
          <t>Yok</t>
        </is>
      </c>
      <c r="M63" s="48" t="inlineStr"/>
      <c r="N63" s="48" t="inlineStr">
        <is>
          <t>Hayır</t>
        </is>
      </c>
      <c r="O63" s="48" t="inlineStr">
        <is>
          <t>Evet</t>
        </is>
      </c>
      <c r="R63" s="48" t="inlineStr">
        <is>
          <t>Oto-test R9</t>
        </is>
      </c>
      <c r="S63" s="48">
        <f>IF(OR(K63="Evet",N63="Evet",H63="FAIL"),"🚩","")</f>
        <v/>
      </c>
    </row>
    <row r="64">
      <c r="A64" s="48">
        <f>IF(B64="","",ROW()-4)</f>
        <v/>
      </c>
      <c r="B64" s="48" t="inlineStr">
        <is>
          <t>2026-05-06 14:01</t>
        </is>
      </c>
      <c r="C64" s="48" t="inlineStr">
        <is>
          <t>AutoTester_v2</t>
        </is>
      </c>
      <c r="D64" s="48" t="inlineStr">
        <is>
          <t>S06</t>
        </is>
      </c>
      <c r="E64" s="48" t="n"/>
      <c r="F64" s="48" t="n"/>
      <c r="G64" s="48" t="n"/>
      <c r="H64" s="48" t="inlineStr">
        <is>
          <t>PASS</t>
        </is>
      </c>
      <c r="I64" s="48" t="n">
        <v>8</v>
      </c>
      <c r="J64" s="48" t="inlineStr">
        <is>
          <t>Hayır</t>
        </is>
      </c>
      <c r="K64" s="48" t="inlineStr">
        <is>
          <t>Hayır</t>
        </is>
      </c>
      <c r="L64" s="48" t="inlineStr">
        <is>
          <t>Yok</t>
        </is>
      </c>
      <c r="M64" s="48" t="inlineStr"/>
      <c r="N64" s="48" t="inlineStr">
        <is>
          <t>Hayır</t>
        </is>
      </c>
      <c r="O64" s="48" t="inlineStr">
        <is>
          <t>Evet</t>
        </is>
      </c>
      <c r="R64" s="48" t="inlineStr">
        <is>
          <t>Oto-test R10</t>
        </is>
      </c>
      <c r="S64" s="48">
        <f>IF(OR(K64="Evet",N64="Evet",H64="FAIL"),"🚩","")</f>
        <v/>
      </c>
    </row>
    <row r="65">
      <c r="A65" s="48">
        <f>IF(B65="","",ROW()-4)</f>
        <v/>
      </c>
      <c r="B65" s="48" t="inlineStr">
        <is>
          <t>2026-05-06 14:01</t>
        </is>
      </c>
      <c r="C65" s="48" t="inlineStr">
        <is>
          <t>AutoTester_v2</t>
        </is>
      </c>
      <c r="D65" s="48" t="inlineStr">
        <is>
          <t>S07</t>
        </is>
      </c>
      <c r="E65" s="48" t="n"/>
      <c r="F65" s="48" t="n"/>
      <c r="G65" s="48" t="n"/>
      <c r="H65" s="48" t="inlineStr">
        <is>
          <t>PASS</t>
        </is>
      </c>
      <c r="I65" s="48" t="n">
        <v>8</v>
      </c>
      <c r="J65" s="48" t="inlineStr">
        <is>
          <t>Hayır</t>
        </is>
      </c>
      <c r="K65" s="48" t="inlineStr">
        <is>
          <t>Hayır</t>
        </is>
      </c>
      <c r="L65" s="48" t="inlineStr">
        <is>
          <t>Yok</t>
        </is>
      </c>
      <c r="M65" s="48" t="inlineStr"/>
      <c r="N65" s="48" t="inlineStr">
        <is>
          <t>Hayır</t>
        </is>
      </c>
      <c r="O65" s="48" t="inlineStr">
        <is>
          <t>Evet</t>
        </is>
      </c>
      <c r="R65" s="48" t="inlineStr">
        <is>
          <t>Oto-test R1</t>
        </is>
      </c>
      <c r="S65" s="48">
        <f>IF(OR(K65="Evet",N65="Evet",H65="FAIL"),"🚩","")</f>
        <v/>
      </c>
    </row>
    <row r="66">
      <c r="A66" s="48">
        <f>IF(B66="","",ROW()-4)</f>
        <v/>
      </c>
      <c r="B66" s="48" t="inlineStr">
        <is>
          <t>2026-05-06 14:01</t>
        </is>
      </c>
      <c r="C66" s="48" t="inlineStr">
        <is>
          <t>AutoTester_v2</t>
        </is>
      </c>
      <c r="D66" s="48" t="inlineStr">
        <is>
          <t>S07</t>
        </is>
      </c>
      <c r="E66" s="48" t="n"/>
      <c r="F66" s="48" t="n"/>
      <c r="G66" s="48" t="n"/>
      <c r="H66" s="48" t="inlineStr">
        <is>
          <t>PASS</t>
        </is>
      </c>
      <c r="I66" s="48" t="n">
        <v>8</v>
      </c>
      <c r="J66" s="48" t="inlineStr">
        <is>
          <t>Hayır</t>
        </is>
      </c>
      <c r="K66" s="48" t="inlineStr">
        <is>
          <t>Hayır</t>
        </is>
      </c>
      <c r="L66" s="48" t="inlineStr">
        <is>
          <t>Yok</t>
        </is>
      </c>
      <c r="M66" s="48" t="inlineStr"/>
      <c r="N66" s="48" t="inlineStr">
        <is>
          <t>Hayır</t>
        </is>
      </c>
      <c r="O66" s="48" t="inlineStr">
        <is>
          <t>Evet</t>
        </is>
      </c>
      <c r="R66" s="48" t="inlineStr">
        <is>
          <t>Oto-test R2</t>
        </is>
      </c>
      <c r="S66" s="48">
        <f>IF(OR(K66="Evet",N66="Evet",H66="FAIL"),"🚩","")</f>
        <v/>
      </c>
    </row>
    <row r="67">
      <c r="A67" s="48">
        <f>IF(B67="","",ROW()-4)</f>
        <v/>
      </c>
      <c r="B67" s="48" t="inlineStr">
        <is>
          <t>2026-05-06 14:01</t>
        </is>
      </c>
      <c r="C67" s="48" t="inlineStr">
        <is>
          <t>AutoTester_v2</t>
        </is>
      </c>
      <c r="D67" s="48" t="inlineStr">
        <is>
          <t>S07</t>
        </is>
      </c>
      <c r="E67" s="48" t="n"/>
      <c r="F67" s="48" t="n"/>
      <c r="G67" s="48" t="n"/>
      <c r="H67" s="48" t="inlineStr">
        <is>
          <t>PASS</t>
        </is>
      </c>
      <c r="I67" s="48" t="n">
        <v>8</v>
      </c>
      <c r="J67" s="48" t="inlineStr">
        <is>
          <t>Hayır</t>
        </is>
      </c>
      <c r="K67" s="48" t="inlineStr">
        <is>
          <t>Hayır</t>
        </is>
      </c>
      <c r="L67" s="48" t="inlineStr">
        <is>
          <t>Yok</t>
        </is>
      </c>
      <c r="M67" s="48" t="inlineStr"/>
      <c r="N67" s="48" t="inlineStr">
        <is>
          <t>Hayır</t>
        </is>
      </c>
      <c r="O67" s="48" t="inlineStr">
        <is>
          <t>Evet</t>
        </is>
      </c>
      <c r="R67" s="48" t="inlineStr">
        <is>
          <t>Oto-test R3</t>
        </is>
      </c>
      <c r="S67" s="48">
        <f>IF(OR(K67="Evet",N67="Evet",H67="FAIL"),"🚩","")</f>
        <v/>
      </c>
    </row>
    <row r="68">
      <c r="A68" s="48">
        <f>IF(B68="","",ROW()-4)</f>
        <v/>
      </c>
      <c r="B68" s="48" t="inlineStr">
        <is>
          <t>2026-05-06 14:01</t>
        </is>
      </c>
      <c r="C68" s="48" t="inlineStr">
        <is>
          <t>AutoTester_v2</t>
        </is>
      </c>
      <c r="D68" s="48" t="inlineStr">
        <is>
          <t>S07</t>
        </is>
      </c>
      <c r="E68" s="48" t="n"/>
      <c r="F68" s="48" t="n"/>
      <c r="G68" s="48" t="n"/>
      <c r="H68" s="48" t="inlineStr">
        <is>
          <t>PASS</t>
        </is>
      </c>
      <c r="I68" s="48" t="n">
        <v>8</v>
      </c>
      <c r="J68" s="48" t="inlineStr">
        <is>
          <t>Hayır</t>
        </is>
      </c>
      <c r="K68" s="48" t="inlineStr">
        <is>
          <t>Hayır</t>
        </is>
      </c>
      <c r="L68" s="48" t="inlineStr">
        <is>
          <t>Yok</t>
        </is>
      </c>
      <c r="M68" s="48" t="inlineStr"/>
      <c r="N68" s="48" t="inlineStr">
        <is>
          <t>Hayır</t>
        </is>
      </c>
      <c r="O68" s="48" t="inlineStr">
        <is>
          <t>Evet</t>
        </is>
      </c>
      <c r="R68" s="48" t="inlineStr">
        <is>
          <t>Oto-test R4</t>
        </is>
      </c>
      <c r="S68" s="48">
        <f>IF(OR(K68="Evet",N68="Evet",H68="FAIL"),"🚩","")</f>
        <v/>
      </c>
    </row>
    <row r="69">
      <c r="A69" s="48">
        <f>IF(B69="","",ROW()-4)</f>
        <v/>
      </c>
      <c r="B69" s="48" t="inlineStr">
        <is>
          <t>2026-05-06 14:01</t>
        </is>
      </c>
      <c r="C69" s="48" t="inlineStr">
        <is>
          <t>AutoTester_v2</t>
        </is>
      </c>
      <c r="D69" s="48" t="inlineStr">
        <is>
          <t>S07</t>
        </is>
      </c>
      <c r="E69" s="48" t="n"/>
      <c r="F69" s="48" t="n"/>
      <c r="G69" s="48" t="n"/>
      <c r="H69" s="48" t="inlineStr">
        <is>
          <t>PASS</t>
        </is>
      </c>
      <c r="I69" s="48" t="n">
        <v>8</v>
      </c>
      <c r="J69" s="48" t="inlineStr">
        <is>
          <t>Hayır</t>
        </is>
      </c>
      <c r="K69" s="48" t="inlineStr">
        <is>
          <t>Hayır</t>
        </is>
      </c>
      <c r="L69" s="48" t="inlineStr">
        <is>
          <t>Yok</t>
        </is>
      </c>
      <c r="M69" s="48" t="inlineStr"/>
      <c r="N69" s="48" t="inlineStr">
        <is>
          <t>Hayır</t>
        </is>
      </c>
      <c r="O69" s="48" t="inlineStr">
        <is>
          <t>Evet</t>
        </is>
      </c>
      <c r="R69" s="48" t="inlineStr">
        <is>
          <t>Oto-test R5</t>
        </is>
      </c>
      <c r="S69" s="48">
        <f>IF(OR(K69="Evet",N69="Evet",H69="FAIL"),"🚩","")</f>
        <v/>
      </c>
    </row>
    <row r="70">
      <c r="A70" s="48">
        <f>IF(B70="","",ROW()-4)</f>
        <v/>
      </c>
      <c r="B70" s="48" t="inlineStr">
        <is>
          <t>2026-05-06 14:02</t>
        </is>
      </c>
      <c r="C70" s="48" t="inlineStr">
        <is>
          <t>AutoTester_v2</t>
        </is>
      </c>
      <c r="D70" s="48" t="inlineStr">
        <is>
          <t>S07</t>
        </is>
      </c>
      <c r="E70" s="48" t="n"/>
      <c r="F70" s="48" t="n"/>
      <c r="G70" s="48" t="n"/>
      <c r="H70" s="48" t="inlineStr">
        <is>
          <t>PASS</t>
        </is>
      </c>
      <c r="I70" s="48" t="n">
        <v>8</v>
      </c>
      <c r="J70" s="48" t="inlineStr">
        <is>
          <t>Hayır</t>
        </is>
      </c>
      <c r="K70" s="48" t="inlineStr">
        <is>
          <t>Hayır</t>
        </is>
      </c>
      <c r="L70" s="48" t="inlineStr">
        <is>
          <t>Yok</t>
        </is>
      </c>
      <c r="M70" s="48" t="inlineStr"/>
      <c r="N70" s="48" t="inlineStr">
        <is>
          <t>Hayır</t>
        </is>
      </c>
      <c r="O70" s="48" t="inlineStr">
        <is>
          <t>Evet</t>
        </is>
      </c>
      <c r="R70" s="48" t="inlineStr">
        <is>
          <t>Oto-test R6</t>
        </is>
      </c>
      <c r="S70" s="48">
        <f>IF(OR(K70="Evet",N70="Evet",H70="FAIL"),"🚩","")</f>
        <v/>
      </c>
    </row>
    <row r="71">
      <c r="A71" s="48">
        <f>IF(B71="","",ROW()-4)</f>
        <v/>
      </c>
      <c r="B71" s="48" t="inlineStr">
        <is>
          <t>2026-05-06 14:02</t>
        </is>
      </c>
      <c r="C71" s="48" t="inlineStr">
        <is>
          <t>AutoTester_v2</t>
        </is>
      </c>
      <c r="D71" s="48" t="inlineStr">
        <is>
          <t>S07</t>
        </is>
      </c>
      <c r="E71" s="48" t="n"/>
      <c r="F71" s="48" t="n"/>
      <c r="G71" s="48" t="n"/>
      <c r="H71" s="48" t="inlineStr">
        <is>
          <t>PASS</t>
        </is>
      </c>
      <c r="I71" s="48" t="n">
        <v>8</v>
      </c>
      <c r="J71" s="48" t="inlineStr">
        <is>
          <t>Hayır</t>
        </is>
      </c>
      <c r="K71" s="48" t="inlineStr">
        <is>
          <t>Hayır</t>
        </is>
      </c>
      <c r="L71" s="48" t="inlineStr">
        <is>
          <t>Yok</t>
        </is>
      </c>
      <c r="M71" s="48" t="inlineStr"/>
      <c r="N71" s="48" t="inlineStr">
        <is>
          <t>Hayır</t>
        </is>
      </c>
      <c r="O71" s="48" t="inlineStr">
        <is>
          <t>Evet</t>
        </is>
      </c>
      <c r="R71" s="48" t="inlineStr">
        <is>
          <t>Oto-test R7</t>
        </is>
      </c>
      <c r="S71" s="48">
        <f>IF(OR(K71="Evet",N71="Evet",H71="FAIL"),"🚩","")</f>
        <v/>
      </c>
    </row>
    <row r="72">
      <c r="A72" s="48">
        <f>IF(B72="","",ROW()-4)</f>
        <v/>
      </c>
      <c r="B72" s="48" t="inlineStr">
        <is>
          <t>2026-05-06 14:02</t>
        </is>
      </c>
      <c r="C72" s="48" t="inlineStr">
        <is>
          <t>AutoTester_v2</t>
        </is>
      </c>
      <c r="D72" s="48" t="inlineStr">
        <is>
          <t>S07</t>
        </is>
      </c>
      <c r="E72" s="48" t="n"/>
      <c r="F72" s="48" t="n"/>
      <c r="G72" s="48" t="n"/>
      <c r="H72" s="48" t="inlineStr">
        <is>
          <t>PASS</t>
        </is>
      </c>
      <c r="I72" s="48" t="n">
        <v>8</v>
      </c>
      <c r="J72" s="48" t="inlineStr">
        <is>
          <t>Hayır</t>
        </is>
      </c>
      <c r="K72" s="48" t="inlineStr">
        <is>
          <t>Hayır</t>
        </is>
      </c>
      <c r="L72" s="48" t="inlineStr">
        <is>
          <t>Yok</t>
        </is>
      </c>
      <c r="M72" s="48" t="inlineStr"/>
      <c r="N72" s="48" t="inlineStr">
        <is>
          <t>Hayır</t>
        </is>
      </c>
      <c r="O72" s="48" t="inlineStr">
        <is>
          <t>Evet</t>
        </is>
      </c>
      <c r="R72" s="48" t="inlineStr">
        <is>
          <t>Oto-test R8</t>
        </is>
      </c>
      <c r="S72" s="48">
        <f>IF(OR(K72="Evet",N72="Evet",H72="FAIL"),"🚩","")</f>
        <v/>
      </c>
    </row>
    <row r="73">
      <c r="A73" s="48">
        <f>IF(B73="","",ROW()-4)</f>
        <v/>
      </c>
      <c r="B73" s="48" t="inlineStr">
        <is>
          <t>2026-05-06 14:02</t>
        </is>
      </c>
      <c r="C73" s="48" t="inlineStr">
        <is>
          <t>AutoTester_v2</t>
        </is>
      </c>
      <c r="D73" s="48" t="inlineStr">
        <is>
          <t>S07</t>
        </is>
      </c>
      <c r="E73" s="48" t="n"/>
      <c r="F73" s="48" t="n"/>
      <c r="G73" s="48" t="n"/>
      <c r="H73" s="48" t="inlineStr">
        <is>
          <t>PASS</t>
        </is>
      </c>
      <c r="I73" s="48" t="n">
        <v>8</v>
      </c>
      <c r="J73" s="48" t="inlineStr">
        <is>
          <t>Hayır</t>
        </is>
      </c>
      <c r="K73" s="48" t="inlineStr">
        <is>
          <t>Hayır</t>
        </is>
      </c>
      <c r="L73" s="48" t="inlineStr">
        <is>
          <t>Yok</t>
        </is>
      </c>
      <c r="M73" s="48" t="inlineStr"/>
      <c r="N73" s="48" t="inlineStr">
        <is>
          <t>Hayır</t>
        </is>
      </c>
      <c r="O73" s="48" t="inlineStr">
        <is>
          <t>Evet</t>
        </is>
      </c>
      <c r="R73" s="48" t="inlineStr">
        <is>
          <t>Oto-test R9</t>
        </is>
      </c>
      <c r="S73" s="48">
        <f>IF(OR(K73="Evet",N73="Evet",H73="FAIL"),"🚩","")</f>
        <v/>
      </c>
    </row>
    <row r="74">
      <c r="A74" s="48">
        <f>IF(B74="","",ROW()-4)</f>
        <v/>
      </c>
      <c r="B74" s="48" t="inlineStr">
        <is>
          <t>2026-05-06 14:02</t>
        </is>
      </c>
      <c r="C74" s="48" t="inlineStr">
        <is>
          <t>AutoTester_v2</t>
        </is>
      </c>
      <c r="D74" s="48" t="inlineStr">
        <is>
          <t>S07</t>
        </is>
      </c>
      <c r="E74" s="48" t="n"/>
      <c r="F74" s="48" t="n"/>
      <c r="G74" s="48" t="n"/>
      <c r="H74" s="48" t="inlineStr">
        <is>
          <t>PASS</t>
        </is>
      </c>
      <c r="I74" s="48" t="n">
        <v>8</v>
      </c>
      <c r="J74" s="48" t="inlineStr">
        <is>
          <t>Hayır</t>
        </is>
      </c>
      <c r="K74" s="48" t="inlineStr">
        <is>
          <t>Hayır</t>
        </is>
      </c>
      <c r="L74" s="48" t="inlineStr">
        <is>
          <t>Yok</t>
        </is>
      </c>
      <c r="M74" s="48" t="inlineStr"/>
      <c r="N74" s="48" t="inlineStr">
        <is>
          <t>Hayır</t>
        </is>
      </c>
      <c r="O74" s="48" t="inlineStr">
        <is>
          <t>Evet</t>
        </is>
      </c>
      <c r="R74" s="48" t="inlineStr">
        <is>
          <t>Oto-test R10</t>
        </is>
      </c>
      <c r="S74" s="48">
        <f>IF(OR(K74="Evet",N74="Evet",H74="FAIL"),"🚩","")</f>
        <v/>
      </c>
    </row>
    <row r="75">
      <c r="A75" s="48">
        <f>IF(B75="","",ROW()-4)</f>
        <v/>
      </c>
      <c r="B75" s="48" t="inlineStr">
        <is>
          <t>2026-05-06 14:03</t>
        </is>
      </c>
      <c r="C75" s="48" t="inlineStr">
        <is>
          <t>AutoTester_v2</t>
        </is>
      </c>
      <c r="D75" s="48" t="inlineStr">
        <is>
          <t>S08</t>
        </is>
      </c>
      <c r="E75" s="48" t="n"/>
      <c r="F75" s="48" t="n"/>
      <c r="G75" s="48" t="n"/>
      <c r="H75" s="48" t="inlineStr">
        <is>
          <t>PASS</t>
        </is>
      </c>
      <c r="I75" s="48" t="n">
        <v>8</v>
      </c>
      <c r="J75" s="48" t="inlineStr">
        <is>
          <t>Hayır</t>
        </is>
      </c>
      <c r="K75" s="48" t="inlineStr">
        <is>
          <t>Hayır</t>
        </is>
      </c>
      <c r="L75" s="48" t="inlineStr">
        <is>
          <t>Yok</t>
        </is>
      </c>
      <c r="M75" s="48" t="inlineStr"/>
      <c r="N75" s="48" t="inlineStr">
        <is>
          <t>Hayır</t>
        </is>
      </c>
      <c r="O75" s="48" t="inlineStr">
        <is>
          <t>Evet</t>
        </is>
      </c>
      <c r="R75" s="48" t="inlineStr">
        <is>
          <t>Oto-test R1</t>
        </is>
      </c>
      <c r="S75" s="48">
        <f>IF(OR(K75="Evet",N75="Evet",H75="FAIL"),"🚩","")</f>
        <v/>
      </c>
    </row>
    <row r="76">
      <c r="A76" s="48">
        <f>IF(B76="","",ROW()-4)</f>
        <v/>
      </c>
      <c r="B76" s="48" t="inlineStr">
        <is>
          <t>2026-05-06 14:03</t>
        </is>
      </c>
      <c r="C76" s="48" t="inlineStr">
        <is>
          <t>AutoTester_v2</t>
        </is>
      </c>
      <c r="D76" s="48" t="inlineStr">
        <is>
          <t>S08</t>
        </is>
      </c>
      <c r="E76" s="48" t="n"/>
      <c r="F76" s="48" t="n"/>
      <c r="G76" s="48" t="n"/>
      <c r="H76" s="48" t="inlineStr">
        <is>
          <t>PASS</t>
        </is>
      </c>
      <c r="I76" s="48" t="n">
        <v>8</v>
      </c>
      <c r="J76" s="48" t="inlineStr">
        <is>
          <t>Hayır</t>
        </is>
      </c>
      <c r="K76" s="48" t="inlineStr">
        <is>
          <t>Hayır</t>
        </is>
      </c>
      <c r="L76" s="48" t="inlineStr">
        <is>
          <t>Yok</t>
        </is>
      </c>
      <c r="M76" s="48" t="inlineStr"/>
      <c r="N76" s="48" t="inlineStr">
        <is>
          <t>Hayır</t>
        </is>
      </c>
      <c r="O76" s="48" t="inlineStr">
        <is>
          <t>Evet</t>
        </is>
      </c>
      <c r="R76" s="48" t="inlineStr">
        <is>
          <t>Oto-test R2</t>
        </is>
      </c>
      <c r="S76" s="48">
        <f>IF(OR(K76="Evet",N76="Evet",H76="FAIL"),"🚩","")</f>
        <v/>
      </c>
    </row>
    <row r="77">
      <c r="A77" s="48">
        <f>IF(B77="","",ROW()-4)</f>
        <v/>
      </c>
      <c r="B77" s="48" t="inlineStr">
        <is>
          <t>2026-05-06 14:03</t>
        </is>
      </c>
      <c r="C77" s="48" t="inlineStr">
        <is>
          <t>AutoTester_v2</t>
        </is>
      </c>
      <c r="D77" s="48" t="inlineStr">
        <is>
          <t>S08</t>
        </is>
      </c>
      <c r="E77" s="48" t="n"/>
      <c r="F77" s="48" t="n"/>
      <c r="G77" s="48" t="n"/>
      <c r="H77" s="48" t="inlineStr">
        <is>
          <t>PASS</t>
        </is>
      </c>
      <c r="I77" s="48" t="n">
        <v>8</v>
      </c>
      <c r="J77" s="48" t="inlineStr">
        <is>
          <t>Hayır</t>
        </is>
      </c>
      <c r="K77" s="48" t="inlineStr">
        <is>
          <t>Hayır</t>
        </is>
      </c>
      <c r="L77" s="48" t="inlineStr">
        <is>
          <t>Yok</t>
        </is>
      </c>
      <c r="M77" s="48" t="inlineStr"/>
      <c r="N77" s="48" t="inlineStr">
        <is>
          <t>Hayır</t>
        </is>
      </c>
      <c r="O77" s="48" t="inlineStr">
        <is>
          <t>Evet</t>
        </is>
      </c>
      <c r="R77" s="48" t="inlineStr">
        <is>
          <t>Oto-test R3</t>
        </is>
      </c>
      <c r="S77" s="48">
        <f>IF(OR(K77="Evet",N77="Evet",H77="FAIL"),"🚩","")</f>
        <v/>
      </c>
    </row>
    <row r="78">
      <c r="A78" s="48">
        <f>IF(B78="","",ROW()-4)</f>
        <v/>
      </c>
      <c r="B78" s="48" t="inlineStr">
        <is>
          <t>2026-05-06 14:03</t>
        </is>
      </c>
      <c r="C78" s="48" t="inlineStr">
        <is>
          <t>AutoTester_v2</t>
        </is>
      </c>
      <c r="D78" s="48" t="inlineStr">
        <is>
          <t>S08</t>
        </is>
      </c>
      <c r="E78" s="48" t="n"/>
      <c r="F78" s="48" t="n"/>
      <c r="G78" s="48" t="n"/>
      <c r="H78" s="48" t="inlineStr">
        <is>
          <t>PASS</t>
        </is>
      </c>
      <c r="I78" s="48" t="n">
        <v>8</v>
      </c>
      <c r="J78" s="48" t="inlineStr">
        <is>
          <t>Hayır</t>
        </is>
      </c>
      <c r="K78" s="48" t="inlineStr">
        <is>
          <t>Hayır</t>
        </is>
      </c>
      <c r="L78" s="48" t="inlineStr">
        <is>
          <t>Yok</t>
        </is>
      </c>
      <c r="M78" s="48" t="inlineStr"/>
      <c r="N78" s="48" t="inlineStr">
        <is>
          <t>Hayır</t>
        </is>
      </c>
      <c r="O78" s="48" t="inlineStr">
        <is>
          <t>Evet</t>
        </is>
      </c>
      <c r="R78" s="48" t="inlineStr">
        <is>
          <t>Oto-test R4</t>
        </is>
      </c>
      <c r="S78" s="48">
        <f>IF(OR(K78="Evet",N78="Evet",H78="FAIL"),"🚩","")</f>
        <v/>
      </c>
    </row>
    <row r="79">
      <c r="A79" s="48">
        <f>IF(B79="","",ROW()-4)</f>
        <v/>
      </c>
      <c r="B79" s="48" t="inlineStr">
        <is>
          <t>2026-05-06 14:03</t>
        </is>
      </c>
      <c r="C79" s="48" t="inlineStr">
        <is>
          <t>AutoTester_v2</t>
        </is>
      </c>
      <c r="D79" s="48" t="inlineStr">
        <is>
          <t>S08</t>
        </is>
      </c>
      <c r="E79" s="48" t="n"/>
      <c r="F79" s="48" t="n"/>
      <c r="G79" s="48" t="n"/>
      <c r="H79" s="48" t="inlineStr">
        <is>
          <t>PASS</t>
        </is>
      </c>
      <c r="I79" s="48" t="n">
        <v>8</v>
      </c>
      <c r="J79" s="48" t="inlineStr">
        <is>
          <t>Hayır</t>
        </is>
      </c>
      <c r="K79" s="48" t="inlineStr">
        <is>
          <t>Hayır</t>
        </is>
      </c>
      <c r="L79" s="48" t="inlineStr">
        <is>
          <t>Yok</t>
        </is>
      </c>
      <c r="M79" s="48" t="inlineStr"/>
      <c r="N79" s="48" t="inlineStr">
        <is>
          <t>Hayır</t>
        </is>
      </c>
      <c r="O79" s="48" t="inlineStr">
        <is>
          <t>Evet</t>
        </is>
      </c>
      <c r="R79" s="48" t="inlineStr">
        <is>
          <t>Oto-test R5</t>
        </is>
      </c>
      <c r="S79" s="48">
        <f>IF(OR(K79="Evet",N79="Evet",H79="FAIL"),"🚩","")</f>
        <v/>
      </c>
    </row>
    <row r="80">
      <c r="A80" s="48">
        <f>IF(B80="","",ROW()-4)</f>
        <v/>
      </c>
      <c r="B80" s="48" t="inlineStr">
        <is>
          <t>2026-05-06 14:03</t>
        </is>
      </c>
      <c r="C80" s="48" t="inlineStr">
        <is>
          <t>AutoTester_v2</t>
        </is>
      </c>
      <c r="D80" s="48" t="inlineStr">
        <is>
          <t>S08</t>
        </is>
      </c>
      <c r="E80" s="48" t="n"/>
      <c r="F80" s="48" t="n"/>
      <c r="G80" s="48" t="n"/>
      <c r="H80" s="48" t="inlineStr">
        <is>
          <t>PASS</t>
        </is>
      </c>
      <c r="I80" s="48" t="n">
        <v>8</v>
      </c>
      <c r="J80" s="48" t="inlineStr">
        <is>
          <t>Hayır</t>
        </is>
      </c>
      <c r="K80" s="48" t="inlineStr">
        <is>
          <t>Hayır</t>
        </is>
      </c>
      <c r="L80" s="48" t="inlineStr">
        <is>
          <t>Yok</t>
        </is>
      </c>
      <c r="M80" s="48" t="inlineStr"/>
      <c r="N80" s="48" t="inlineStr">
        <is>
          <t>Hayır</t>
        </is>
      </c>
      <c r="O80" s="48" t="inlineStr">
        <is>
          <t>Evet</t>
        </is>
      </c>
      <c r="R80" s="48" t="inlineStr">
        <is>
          <t>Oto-test R6</t>
        </is>
      </c>
      <c r="S80" s="48">
        <f>IF(OR(K80="Evet",N80="Evet",H80="FAIL"),"🚩","")</f>
        <v/>
      </c>
    </row>
    <row r="81">
      <c r="A81" s="48">
        <f>IF(B81="","",ROW()-4)</f>
        <v/>
      </c>
      <c r="B81" s="48" t="inlineStr">
        <is>
          <t>2026-05-06 14:04</t>
        </is>
      </c>
      <c r="C81" s="48" t="inlineStr">
        <is>
          <t>AutoTester_v2</t>
        </is>
      </c>
      <c r="D81" s="48" t="inlineStr">
        <is>
          <t>S08</t>
        </is>
      </c>
      <c r="E81" s="48" t="n"/>
      <c r="F81" s="48" t="n"/>
      <c r="G81" s="48" t="n"/>
      <c r="H81" s="48" t="inlineStr">
        <is>
          <t>PASS</t>
        </is>
      </c>
      <c r="I81" s="48" t="n">
        <v>8</v>
      </c>
      <c r="J81" s="48" t="inlineStr">
        <is>
          <t>Hayır</t>
        </is>
      </c>
      <c r="K81" s="48" t="inlineStr">
        <is>
          <t>Hayır</t>
        </is>
      </c>
      <c r="L81" s="48" t="inlineStr">
        <is>
          <t>Yok</t>
        </is>
      </c>
      <c r="M81" s="48" t="inlineStr"/>
      <c r="N81" s="48" t="inlineStr">
        <is>
          <t>Hayır</t>
        </is>
      </c>
      <c r="O81" s="48" t="inlineStr">
        <is>
          <t>Evet</t>
        </is>
      </c>
      <c r="R81" s="48" t="inlineStr">
        <is>
          <t>Oto-test R7</t>
        </is>
      </c>
      <c r="S81" s="48">
        <f>IF(OR(K81="Evet",N81="Evet",H81="FAIL"),"🚩","")</f>
        <v/>
      </c>
    </row>
    <row r="82">
      <c r="A82" s="48">
        <f>IF(B82="","",ROW()-4)</f>
        <v/>
      </c>
      <c r="B82" s="48" t="inlineStr">
        <is>
          <t>2026-05-06 14:04</t>
        </is>
      </c>
      <c r="C82" s="48" t="inlineStr">
        <is>
          <t>AutoTester_v2</t>
        </is>
      </c>
      <c r="D82" s="48" t="inlineStr">
        <is>
          <t>S08</t>
        </is>
      </c>
      <c r="E82" s="48" t="n"/>
      <c r="F82" s="48" t="n"/>
      <c r="G82" s="48" t="n"/>
      <c r="H82" s="48" t="inlineStr">
        <is>
          <t>PASS</t>
        </is>
      </c>
      <c r="I82" s="48" t="n">
        <v>8</v>
      </c>
      <c r="J82" s="48" t="inlineStr">
        <is>
          <t>Hayır</t>
        </is>
      </c>
      <c r="K82" s="48" t="inlineStr">
        <is>
          <t>Hayır</t>
        </is>
      </c>
      <c r="L82" s="48" t="inlineStr">
        <is>
          <t>Yok</t>
        </is>
      </c>
      <c r="M82" s="48" t="inlineStr"/>
      <c r="N82" s="48" t="inlineStr">
        <is>
          <t>Hayır</t>
        </is>
      </c>
      <c r="O82" s="48" t="inlineStr">
        <is>
          <t>Evet</t>
        </is>
      </c>
      <c r="R82" s="48" t="inlineStr">
        <is>
          <t>Oto-test R8</t>
        </is>
      </c>
      <c r="S82" s="48">
        <f>IF(OR(K82="Evet",N82="Evet",H82="FAIL"),"🚩","")</f>
        <v/>
      </c>
    </row>
    <row r="83">
      <c r="A83" s="48">
        <f>IF(B83="","",ROW()-4)</f>
        <v/>
      </c>
      <c r="B83" s="48" t="inlineStr">
        <is>
          <t>2026-05-06 14:04</t>
        </is>
      </c>
      <c r="C83" s="48" t="inlineStr">
        <is>
          <t>AutoTester_v2</t>
        </is>
      </c>
      <c r="D83" s="48" t="inlineStr">
        <is>
          <t>S08</t>
        </is>
      </c>
      <c r="E83" s="48" t="n"/>
      <c r="F83" s="48" t="n"/>
      <c r="G83" s="48" t="n"/>
      <c r="H83" s="48" t="inlineStr">
        <is>
          <t>PASS</t>
        </is>
      </c>
      <c r="I83" s="48" t="n">
        <v>8</v>
      </c>
      <c r="J83" s="48" t="inlineStr">
        <is>
          <t>Hayır</t>
        </is>
      </c>
      <c r="K83" s="48" t="inlineStr">
        <is>
          <t>Hayır</t>
        </is>
      </c>
      <c r="L83" s="48" t="inlineStr">
        <is>
          <t>Yok</t>
        </is>
      </c>
      <c r="M83" s="48" t="inlineStr"/>
      <c r="N83" s="48" t="inlineStr">
        <is>
          <t>Hayır</t>
        </is>
      </c>
      <c r="O83" s="48" t="inlineStr">
        <is>
          <t>Evet</t>
        </is>
      </c>
      <c r="R83" s="48" t="inlineStr">
        <is>
          <t>Oto-test R9</t>
        </is>
      </c>
      <c r="S83" s="48">
        <f>IF(OR(K83="Evet",N83="Evet",H83="FAIL"),"🚩","")</f>
        <v/>
      </c>
    </row>
    <row r="84">
      <c r="A84" s="48">
        <f>IF(B84="","",ROW()-4)</f>
        <v/>
      </c>
      <c r="B84" s="48" t="inlineStr">
        <is>
          <t>2026-05-06 14:04</t>
        </is>
      </c>
      <c r="C84" s="48" t="inlineStr">
        <is>
          <t>AutoTester_v2</t>
        </is>
      </c>
      <c r="D84" s="48" t="inlineStr">
        <is>
          <t>S08</t>
        </is>
      </c>
      <c r="E84" s="48" t="n"/>
      <c r="F84" s="48" t="n"/>
      <c r="G84" s="48" t="n"/>
      <c r="H84" s="48" t="inlineStr">
        <is>
          <t>PASS</t>
        </is>
      </c>
      <c r="I84" s="48" t="n">
        <v>8</v>
      </c>
      <c r="J84" s="48" t="inlineStr">
        <is>
          <t>Hayır</t>
        </is>
      </c>
      <c r="K84" s="48" t="inlineStr">
        <is>
          <t>Hayır</t>
        </is>
      </c>
      <c r="L84" s="48" t="inlineStr">
        <is>
          <t>Yok</t>
        </is>
      </c>
      <c r="M84" s="48" t="inlineStr"/>
      <c r="N84" s="48" t="inlineStr">
        <is>
          <t>Hayır</t>
        </is>
      </c>
      <c r="O84" s="48" t="inlineStr">
        <is>
          <t>Evet</t>
        </is>
      </c>
      <c r="R84" s="48" t="inlineStr">
        <is>
          <t>Oto-test R10</t>
        </is>
      </c>
      <c r="S84" s="48">
        <f>IF(OR(K84="Evet",N84="Evet",H84="FAIL"),"🚩","")</f>
        <v/>
      </c>
    </row>
    <row r="85">
      <c r="A85" s="48">
        <f>IF(B85="","",ROW()-4)</f>
        <v/>
      </c>
      <c r="B85" s="48" t="inlineStr">
        <is>
          <t>2026-05-06 14:04</t>
        </is>
      </c>
      <c r="C85" s="48" t="inlineStr">
        <is>
          <t>AutoTester_v2</t>
        </is>
      </c>
      <c r="D85" s="48" t="inlineStr">
        <is>
          <t>S09</t>
        </is>
      </c>
      <c r="E85" s="48" t="n"/>
      <c r="F85" s="48" t="n"/>
      <c r="G85" s="48" t="n"/>
      <c r="H85" s="48" t="inlineStr">
        <is>
          <t>PASS</t>
        </is>
      </c>
      <c r="I85" s="48" t="n">
        <v>8</v>
      </c>
      <c r="J85" s="48" t="inlineStr">
        <is>
          <t>Hayır</t>
        </is>
      </c>
      <c r="K85" s="48" t="inlineStr">
        <is>
          <t>Hayır</t>
        </is>
      </c>
      <c r="L85" s="48" t="inlineStr">
        <is>
          <t>Yok</t>
        </is>
      </c>
      <c r="M85" s="48" t="inlineStr"/>
      <c r="N85" s="48" t="inlineStr">
        <is>
          <t>Hayır</t>
        </is>
      </c>
      <c r="O85" s="48" t="inlineStr">
        <is>
          <t>Evet</t>
        </is>
      </c>
      <c r="R85" s="48" t="inlineStr">
        <is>
          <t>Oto-test R1</t>
        </is>
      </c>
      <c r="S85" s="48">
        <f>IF(OR(K85="Evet",N85="Evet",H85="FAIL"),"🚩","")</f>
        <v/>
      </c>
    </row>
    <row r="86">
      <c r="A86" s="48">
        <f>IF(B86="","",ROW()-4)</f>
        <v/>
      </c>
      <c r="B86" s="48" t="inlineStr">
        <is>
          <t>2026-05-06 14:04</t>
        </is>
      </c>
      <c r="C86" s="48" t="inlineStr">
        <is>
          <t>AutoTester_v2</t>
        </is>
      </c>
      <c r="D86" s="48" t="inlineStr">
        <is>
          <t>S09</t>
        </is>
      </c>
      <c r="E86" s="48" t="n"/>
      <c r="F86" s="48" t="n"/>
      <c r="G86" s="48" t="n"/>
      <c r="H86" s="48" t="inlineStr">
        <is>
          <t>PASS</t>
        </is>
      </c>
      <c r="I86" s="48" t="n">
        <v>8</v>
      </c>
      <c r="J86" s="48" t="inlineStr">
        <is>
          <t>Hayır</t>
        </is>
      </c>
      <c r="K86" s="48" t="inlineStr">
        <is>
          <t>Hayır</t>
        </is>
      </c>
      <c r="L86" s="48" t="inlineStr">
        <is>
          <t>Yok</t>
        </is>
      </c>
      <c r="M86" s="48" t="inlineStr"/>
      <c r="N86" s="48" t="inlineStr">
        <is>
          <t>Hayır</t>
        </is>
      </c>
      <c r="O86" s="48" t="inlineStr">
        <is>
          <t>Evet</t>
        </is>
      </c>
      <c r="R86" s="48" t="inlineStr">
        <is>
          <t>Oto-test R2</t>
        </is>
      </c>
      <c r="S86" s="48">
        <f>IF(OR(K86="Evet",N86="Evet",H86="FAIL"),"🚩","")</f>
        <v/>
      </c>
    </row>
    <row r="87">
      <c r="A87" s="48">
        <f>IF(B87="","",ROW()-4)</f>
        <v/>
      </c>
      <c r="B87" s="48" t="inlineStr">
        <is>
          <t>2026-05-06 14:05</t>
        </is>
      </c>
      <c r="C87" s="48" t="inlineStr">
        <is>
          <t>AutoTester_v2</t>
        </is>
      </c>
      <c r="D87" s="48" t="inlineStr">
        <is>
          <t>S09</t>
        </is>
      </c>
      <c r="E87" s="48" t="n"/>
      <c r="F87" s="48" t="n"/>
      <c r="G87" s="48" t="n"/>
      <c r="H87" s="48" t="inlineStr">
        <is>
          <t>PASS</t>
        </is>
      </c>
      <c r="I87" s="48" t="n">
        <v>8</v>
      </c>
      <c r="J87" s="48" t="inlineStr">
        <is>
          <t>Hayır</t>
        </is>
      </c>
      <c r="K87" s="48" t="inlineStr">
        <is>
          <t>Hayır</t>
        </is>
      </c>
      <c r="L87" s="48" t="inlineStr">
        <is>
          <t>Yok</t>
        </is>
      </c>
      <c r="M87" s="48" t="inlineStr"/>
      <c r="N87" s="48" t="inlineStr">
        <is>
          <t>Hayır</t>
        </is>
      </c>
      <c r="O87" s="48" t="inlineStr">
        <is>
          <t>Evet</t>
        </is>
      </c>
      <c r="R87" s="48" t="inlineStr">
        <is>
          <t>Oto-test R3</t>
        </is>
      </c>
      <c r="S87" s="48">
        <f>IF(OR(K87="Evet",N87="Evet",H87="FAIL"),"🚩","")</f>
        <v/>
      </c>
    </row>
    <row r="88">
      <c r="A88" s="48">
        <f>IF(B88="","",ROW()-4)</f>
        <v/>
      </c>
      <c r="B88" s="48" t="inlineStr">
        <is>
          <t>2026-05-06 14:05</t>
        </is>
      </c>
      <c r="C88" s="48" t="inlineStr">
        <is>
          <t>AutoTester_v2</t>
        </is>
      </c>
      <c r="D88" s="48" t="inlineStr">
        <is>
          <t>S09</t>
        </is>
      </c>
      <c r="E88" s="48" t="n"/>
      <c r="F88" s="48" t="n"/>
      <c r="G88" s="48" t="n"/>
      <c r="H88" s="48" t="inlineStr">
        <is>
          <t>PASS</t>
        </is>
      </c>
      <c r="I88" s="48" t="n">
        <v>8</v>
      </c>
      <c r="J88" s="48" t="inlineStr">
        <is>
          <t>Hayır</t>
        </is>
      </c>
      <c r="K88" s="48" t="inlineStr">
        <is>
          <t>Hayır</t>
        </is>
      </c>
      <c r="L88" s="48" t="inlineStr">
        <is>
          <t>Yok</t>
        </is>
      </c>
      <c r="M88" s="48" t="inlineStr"/>
      <c r="N88" s="48" t="inlineStr">
        <is>
          <t>Hayır</t>
        </is>
      </c>
      <c r="O88" s="48" t="inlineStr">
        <is>
          <t>Evet</t>
        </is>
      </c>
      <c r="R88" s="48" t="inlineStr">
        <is>
          <t>Oto-test R4</t>
        </is>
      </c>
      <c r="S88" s="48">
        <f>IF(OR(K88="Evet",N88="Evet",H88="FAIL"),"🚩","")</f>
        <v/>
      </c>
    </row>
    <row r="89">
      <c r="A89" s="48">
        <f>IF(B89="","",ROW()-4)</f>
        <v/>
      </c>
      <c r="B89" s="48" t="inlineStr">
        <is>
          <t>2026-05-06 14:05</t>
        </is>
      </c>
      <c r="C89" s="48" t="inlineStr">
        <is>
          <t>AutoTester_v2</t>
        </is>
      </c>
      <c r="D89" s="48" t="inlineStr">
        <is>
          <t>S09</t>
        </is>
      </c>
      <c r="E89" s="48" t="n"/>
      <c r="F89" s="48" t="n"/>
      <c r="G89" s="48" t="n"/>
      <c r="H89" s="48" t="inlineStr">
        <is>
          <t>PASS</t>
        </is>
      </c>
      <c r="I89" s="48" t="n">
        <v>8</v>
      </c>
      <c r="J89" s="48" t="inlineStr">
        <is>
          <t>Hayır</t>
        </is>
      </c>
      <c r="K89" s="48" t="inlineStr">
        <is>
          <t>Hayır</t>
        </is>
      </c>
      <c r="L89" s="48" t="inlineStr">
        <is>
          <t>Yok</t>
        </is>
      </c>
      <c r="M89" s="48" t="inlineStr"/>
      <c r="N89" s="48" t="inlineStr">
        <is>
          <t>Hayır</t>
        </is>
      </c>
      <c r="O89" s="48" t="inlineStr">
        <is>
          <t>Evet</t>
        </is>
      </c>
      <c r="R89" s="48" t="inlineStr">
        <is>
          <t>Oto-test R5</t>
        </is>
      </c>
      <c r="S89" s="48">
        <f>IF(OR(K89="Evet",N89="Evet",H89="FAIL"),"🚩","")</f>
        <v/>
      </c>
    </row>
    <row r="90">
      <c r="A90" s="48">
        <f>IF(B90="","",ROW()-4)</f>
        <v/>
      </c>
      <c r="B90" s="48" t="inlineStr">
        <is>
          <t>2026-05-06 14:05</t>
        </is>
      </c>
      <c r="C90" s="48" t="inlineStr">
        <is>
          <t>AutoTester_v2</t>
        </is>
      </c>
      <c r="D90" s="48" t="inlineStr">
        <is>
          <t>S09</t>
        </is>
      </c>
      <c r="E90" s="48" t="n"/>
      <c r="F90" s="48" t="n"/>
      <c r="G90" s="48" t="n"/>
      <c r="H90" s="48" t="inlineStr">
        <is>
          <t>PASS</t>
        </is>
      </c>
      <c r="I90" s="48" t="n">
        <v>8</v>
      </c>
      <c r="J90" s="48" t="inlineStr">
        <is>
          <t>Hayır</t>
        </is>
      </c>
      <c r="K90" s="48" t="inlineStr">
        <is>
          <t>Hayır</t>
        </is>
      </c>
      <c r="L90" s="48" t="inlineStr">
        <is>
          <t>Yok</t>
        </is>
      </c>
      <c r="M90" s="48" t="inlineStr"/>
      <c r="N90" s="48" t="inlineStr">
        <is>
          <t>Hayır</t>
        </is>
      </c>
      <c r="O90" s="48" t="inlineStr">
        <is>
          <t>Evet</t>
        </is>
      </c>
      <c r="R90" s="48" t="inlineStr">
        <is>
          <t>Oto-test R6</t>
        </is>
      </c>
      <c r="S90" s="48">
        <f>IF(OR(K90="Evet",N90="Evet",H90="FAIL"),"🚩","")</f>
        <v/>
      </c>
    </row>
    <row r="91">
      <c r="A91" s="48">
        <f>IF(B91="","",ROW()-4)</f>
        <v/>
      </c>
      <c r="B91" s="48" t="inlineStr">
        <is>
          <t>2026-05-06 14:05</t>
        </is>
      </c>
      <c r="C91" s="48" t="inlineStr">
        <is>
          <t>AutoTester_v2</t>
        </is>
      </c>
      <c r="D91" s="48" t="inlineStr">
        <is>
          <t>S09</t>
        </is>
      </c>
      <c r="E91" s="48" t="n"/>
      <c r="F91" s="48" t="n"/>
      <c r="G91" s="48" t="n"/>
      <c r="H91" s="48" t="inlineStr">
        <is>
          <t>PASS</t>
        </is>
      </c>
      <c r="I91" s="48" t="n">
        <v>8</v>
      </c>
      <c r="J91" s="48" t="inlineStr">
        <is>
          <t>Hayır</t>
        </is>
      </c>
      <c r="K91" s="48" t="inlineStr">
        <is>
          <t>Hayır</t>
        </is>
      </c>
      <c r="L91" s="48" t="inlineStr">
        <is>
          <t>Yok</t>
        </is>
      </c>
      <c r="M91" s="48" t="inlineStr"/>
      <c r="N91" s="48" t="inlineStr">
        <is>
          <t>Hayır</t>
        </is>
      </c>
      <c r="O91" s="48" t="inlineStr">
        <is>
          <t>Evet</t>
        </is>
      </c>
      <c r="R91" s="48" t="inlineStr">
        <is>
          <t>Oto-test R7</t>
        </is>
      </c>
      <c r="S91" s="48">
        <f>IF(OR(K91="Evet",N91="Evet",H91="FAIL"),"🚩","")</f>
        <v/>
      </c>
    </row>
    <row r="92">
      <c r="A92" s="48">
        <f>IF(B92="","",ROW()-4)</f>
        <v/>
      </c>
      <c r="B92" s="48" t="inlineStr">
        <is>
          <t>2026-05-06 14:05</t>
        </is>
      </c>
      <c r="C92" s="48" t="inlineStr">
        <is>
          <t>AutoTester_v2</t>
        </is>
      </c>
      <c r="D92" s="48" t="inlineStr">
        <is>
          <t>S09</t>
        </is>
      </c>
      <c r="E92" s="48" t="n"/>
      <c r="F92" s="48" t="n"/>
      <c r="G92" s="48" t="n"/>
      <c r="H92" s="48" t="inlineStr">
        <is>
          <t>PASS</t>
        </is>
      </c>
      <c r="I92" s="48" t="n">
        <v>8</v>
      </c>
      <c r="J92" s="48" t="inlineStr">
        <is>
          <t>Hayır</t>
        </is>
      </c>
      <c r="K92" s="48" t="inlineStr">
        <is>
          <t>Hayır</t>
        </is>
      </c>
      <c r="L92" s="48" t="inlineStr">
        <is>
          <t>Yok</t>
        </is>
      </c>
      <c r="M92" s="48" t="inlineStr"/>
      <c r="N92" s="48" t="inlineStr">
        <is>
          <t>Hayır</t>
        </is>
      </c>
      <c r="O92" s="48" t="inlineStr">
        <is>
          <t>Evet</t>
        </is>
      </c>
      <c r="R92" s="48" t="inlineStr">
        <is>
          <t>Oto-test R8</t>
        </is>
      </c>
      <c r="S92" s="48">
        <f>IF(OR(K92="Evet",N92="Evet",H92="FAIL"),"🚩","")</f>
        <v/>
      </c>
    </row>
    <row r="93">
      <c r="A93" s="48">
        <f>IF(B93="","",ROW()-4)</f>
        <v/>
      </c>
      <c r="B93" s="48" t="inlineStr">
        <is>
          <t>2026-05-06 14:06</t>
        </is>
      </c>
      <c r="C93" s="48" t="inlineStr">
        <is>
          <t>AutoTester_v2</t>
        </is>
      </c>
      <c r="D93" s="48" t="inlineStr">
        <is>
          <t>S09</t>
        </is>
      </c>
      <c r="E93" s="48" t="n"/>
      <c r="F93" s="48" t="n"/>
      <c r="G93" s="48" t="n"/>
      <c r="H93" s="48" t="inlineStr">
        <is>
          <t>PASS</t>
        </is>
      </c>
      <c r="I93" s="48" t="n">
        <v>8</v>
      </c>
      <c r="J93" s="48" t="inlineStr">
        <is>
          <t>Hayır</t>
        </is>
      </c>
      <c r="K93" s="48" t="inlineStr">
        <is>
          <t>Hayır</t>
        </is>
      </c>
      <c r="L93" s="48" t="inlineStr">
        <is>
          <t>Yok</t>
        </is>
      </c>
      <c r="M93" s="48" t="inlineStr"/>
      <c r="N93" s="48" t="inlineStr">
        <is>
          <t>Hayır</t>
        </is>
      </c>
      <c r="O93" s="48" t="inlineStr">
        <is>
          <t>Evet</t>
        </is>
      </c>
      <c r="R93" s="48" t="inlineStr">
        <is>
          <t>Oto-test R9</t>
        </is>
      </c>
      <c r="S93" s="48">
        <f>IF(OR(K93="Evet",N93="Evet",H93="FAIL"),"🚩","")</f>
        <v/>
      </c>
    </row>
    <row r="94">
      <c r="A94" s="48">
        <f>IF(B94="","",ROW()-4)</f>
        <v/>
      </c>
      <c r="B94" s="48" t="inlineStr">
        <is>
          <t>2026-05-06 14:06</t>
        </is>
      </c>
      <c r="C94" s="48" t="inlineStr">
        <is>
          <t>AutoTester_v2</t>
        </is>
      </c>
      <c r="D94" s="48" t="inlineStr">
        <is>
          <t>S09</t>
        </is>
      </c>
      <c r="E94" s="48" t="n"/>
      <c r="F94" s="48" t="n"/>
      <c r="G94" s="48" t="n"/>
      <c r="H94" s="48" t="inlineStr">
        <is>
          <t>PASS</t>
        </is>
      </c>
      <c r="I94" s="48" t="n">
        <v>8</v>
      </c>
      <c r="J94" s="48" t="inlineStr">
        <is>
          <t>Hayır</t>
        </is>
      </c>
      <c r="K94" s="48" t="inlineStr">
        <is>
          <t>Hayır</t>
        </is>
      </c>
      <c r="L94" s="48" t="inlineStr">
        <is>
          <t>Yok</t>
        </is>
      </c>
      <c r="M94" s="48" t="inlineStr"/>
      <c r="N94" s="48" t="inlineStr">
        <is>
          <t>Hayır</t>
        </is>
      </c>
      <c r="O94" s="48" t="inlineStr">
        <is>
          <t>Evet</t>
        </is>
      </c>
      <c r="R94" s="48" t="inlineStr">
        <is>
          <t>Oto-test R10</t>
        </is>
      </c>
      <c r="S94" s="48">
        <f>IF(OR(K94="Evet",N94="Evet",H94="FAIL"),"🚩","")</f>
        <v/>
      </c>
    </row>
    <row r="95">
      <c r="A95" s="48">
        <f>IF(B95="","",ROW()-4)</f>
        <v/>
      </c>
      <c r="B95" s="48" t="inlineStr">
        <is>
          <t>2026-05-06 14:06</t>
        </is>
      </c>
      <c r="C95" s="48" t="inlineStr">
        <is>
          <t>AutoTester_v2</t>
        </is>
      </c>
      <c r="D95" s="48" t="inlineStr">
        <is>
          <t>S10</t>
        </is>
      </c>
      <c r="E95" s="48" t="n"/>
      <c r="F95" s="48" t="n"/>
      <c r="G95" s="48" t="n"/>
      <c r="H95" s="48" t="inlineStr">
        <is>
          <t>PASS</t>
        </is>
      </c>
      <c r="I95" s="48" t="n">
        <v>8</v>
      </c>
      <c r="J95" s="48" t="inlineStr">
        <is>
          <t>Hayır</t>
        </is>
      </c>
      <c r="K95" s="48" t="inlineStr">
        <is>
          <t>Hayır</t>
        </is>
      </c>
      <c r="L95" s="48" t="inlineStr">
        <is>
          <t>Yok</t>
        </is>
      </c>
      <c r="M95" s="48" t="inlineStr"/>
      <c r="N95" s="48" t="inlineStr">
        <is>
          <t>Hayır</t>
        </is>
      </c>
      <c r="O95" s="48" t="inlineStr">
        <is>
          <t>Evet</t>
        </is>
      </c>
      <c r="R95" s="48" t="inlineStr">
        <is>
          <t>Oto-test R1</t>
        </is>
      </c>
      <c r="S95" s="48">
        <f>IF(OR(K95="Evet",N95="Evet",H95="FAIL"),"🚩","")</f>
        <v/>
      </c>
    </row>
    <row r="96">
      <c r="A96" s="48">
        <f>IF(B96="","",ROW()-4)</f>
        <v/>
      </c>
      <c r="B96" s="48" t="inlineStr">
        <is>
          <t>2026-05-06 14:06</t>
        </is>
      </c>
      <c r="C96" s="48" t="inlineStr">
        <is>
          <t>AutoTester_v2</t>
        </is>
      </c>
      <c r="D96" s="48" t="inlineStr">
        <is>
          <t>S10</t>
        </is>
      </c>
      <c r="E96" s="48" t="n"/>
      <c r="F96" s="48" t="n"/>
      <c r="G96" s="48" t="n"/>
      <c r="H96" s="48" t="inlineStr">
        <is>
          <t>PASS</t>
        </is>
      </c>
      <c r="I96" s="48" t="n">
        <v>8</v>
      </c>
      <c r="J96" s="48" t="inlineStr">
        <is>
          <t>Hayır</t>
        </is>
      </c>
      <c r="K96" s="48" t="inlineStr">
        <is>
          <t>Hayır</t>
        </is>
      </c>
      <c r="L96" s="48" t="inlineStr">
        <is>
          <t>Yok</t>
        </is>
      </c>
      <c r="M96" s="48" t="inlineStr"/>
      <c r="N96" s="48" t="inlineStr">
        <is>
          <t>Hayır</t>
        </is>
      </c>
      <c r="O96" s="48" t="inlineStr">
        <is>
          <t>Evet</t>
        </is>
      </c>
      <c r="R96" s="48" t="inlineStr">
        <is>
          <t>Oto-test R2</t>
        </is>
      </c>
      <c r="S96" s="48">
        <f>IF(OR(K96="Evet",N96="Evet",H96="FAIL"),"🚩","")</f>
        <v/>
      </c>
    </row>
    <row r="97">
      <c r="A97" s="48">
        <f>IF(B97="","",ROW()-4)</f>
        <v/>
      </c>
      <c r="B97" s="48" t="inlineStr">
        <is>
          <t>2026-05-06 14:06</t>
        </is>
      </c>
      <c r="C97" s="48" t="inlineStr">
        <is>
          <t>AutoTester_v2</t>
        </is>
      </c>
      <c r="D97" s="48" t="inlineStr">
        <is>
          <t>S10</t>
        </is>
      </c>
      <c r="E97" s="48" t="n"/>
      <c r="F97" s="48" t="n"/>
      <c r="G97" s="48" t="n"/>
      <c r="H97" s="48" t="inlineStr">
        <is>
          <t>PASS</t>
        </is>
      </c>
      <c r="I97" s="48" t="n">
        <v>8</v>
      </c>
      <c r="J97" s="48" t="inlineStr">
        <is>
          <t>Hayır</t>
        </is>
      </c>
      <c r="K97" s="48" t="inlineStr">
        <is>
          <t>Hayır</t>
        </is>
      </c>
      <c r="L97" s="48" t="inlineStr">
        <is>
          <t>Yok</t>
        </is>
      </c>
      <c r="M97" s="48" t="inlineStr"/>
      <c r="N97" s="48" t="inlineStr">
        <is>
          <t>Hayır</t>
        </is>
      </c>
      <c r="O97" s="48" t="inlineStr">
        <is>
          <t>Evet</t>
        </is>
      </c>
      <c r="R97" s="48" t="inlineStr">
        <is>
          <t>Oto-test R3</t>
        </is>
      </c>
      <c r="S97" s="48">
        <f>IF(OR(K97="Evet",N97="Evet",H97="FAIL"),"🚩","")</f>
        <v/>
      </c>
    </row>
    <row r="98">
      <c r="A98" s="48">
        <f>IF(B98="","",ROW()-4)</f>
        <v/>
      </c>
      <c r="B98" s="48" t="inlineStr">
        <is>
          <t>2026-05-06 14:06</t>
        </is>
      </c>
      <c r="C98" s="48" t="inlineStr">
        <is>
          <t>AutoTester_v2</t>
        </is>
      </c>
      <c r="D98" s="48" t="inlineStr">
        <is>
          <t>S10</t>
        </is>
      </c>
      <c r="E98" s="48" t="n"/>
      <c r="F98" s="48" t="n"/>
      <c r="G98" s="48" t="n"/>
      <c r="H98" s="48" t="inlineStr">
        <is>
          <t>PASS</t>
        </is>
      </c>
      <c r="I98" s="48" t="n">
        <v>8</v>
      </c>
      <c r="J98" s="48" t="inlineStr">
        <is>
          <t>Hayır</t>
        </is>
      </c>
      <c r="K98" s="48" t="inlineStr">
        <is>
          <t>Hayır</t>
        </is>
      </c>
      <c r="L98" s="48" t="inlineStr">
        <is>
          <t>Yok</t>
        </is>
      </c>
      <c r="M98" s="48" t="inlineStr"/>
      <c r="N98" s="48" t="inlineStr">
        <is>
          <t>Hayır</t>
        </is>
      </c>
      <c r="O98" s="48" t="inlineStr">
        <is>
          <t>Evet</t>
        </is>
      </c>
      <c r="R98" s="48" t="inlineStr">
        <is>
          <t>Oto-test R4</t>
        </is>
      </c>
      <c r="S98" s="48">
        <f>IF(OR(K98="Evet",N98="Evet",H98="FAIL"),"🚩","")</f>
        <v/>
      </c>
    </row>
    <row r="99">
      <c r="A99" s="48">
        <f>IF(B99="","",ROW()-4)</f>
        <v/>
      </c>
      <c r="B99" s="48" t="inlineStr">
        <is>
          <t>2026-05-06 14:07</t>
        </is>
      </c>
      <c r="C99" s="48" t="inlineStr">
        <is>
          <t>AutoTester_v2</t>
        </is>
      </c>
      <c r="D99" s="48" t="inlineStr">
        <is>
          <t>S10</t>
        </is>
      </c>
      <c r="E99" s="48" t="n"/>
      <c r="F99" s="48" t="n"/>
      <c r="G99" s="48" t="n"/>
      <c r="H99" s="48" t="inlineStr">
        <is>
          <t>PASS</t>
        </is>
      </c>
      <c r="I99" s="48" t="n">
        <v>8</v>
      </c>
      <c r="J99" s="48" t="inlineStr">
        <is>
          <t>Hayır</t>
        </is>
      </c>
      <c r="K99" s="48" t="inlineStr">
        <is>
          <t>Hayır</t>
        </is>
      </c>
      <c r="L99" s="48" t="inlineStr">
        <is>
          <t>Yok</t>
        </is>
      </c>
      <c r="M99" s="48" t="inlineStr"/>
      <c r="N99" s="48" t="inlineStr">
        <is>
          <t>Hayır</t>
        </is>
      </c>
      <c r="O99" s="48" t="inlineStr">
        <is>
          <t>Evet</t>
        </is>
      </c>
      <c r="R99" s="48" t="inlineStr">
        <is>
          <t>Oto-test R5</t>
        </is>
      </c>
      <c r="S99" s="48">
        <f>IF(OR(K99="Evet",N99="Evet",H99="FAIL"),"🚩","")</f>
        <v/>
      </c>
    </row>
    <row r="100">
      <c r="A100" s="48">
        <f>IF(B100="","",ROW()-4)</f>
        <v/>
      </c>
      <c r="B100" s="48" t="inlineStr">
        <is>
          <t>2026-05-06 14:07</t>
        </is>
      </c>
      <c r="C100" s="48" t="inlineStr">
        <is>
          <t>AutoTester_v2</t>
        </is>
      </c>
      <c r="D100" s="48" t="inlineStr">
        <is>
          <t>S10</t>
        </is>
      </c>
      <c r="E100" s="48" t="n"/>
      <c r="F100" s="48" t="n"/>
      <c r="G100" s="48" t="n"/>
      <c r="H100" s="48" t="inlineStr">
        <is>
          <t>PASS</t>
        </is>
      </c>
      <c r="I100" s="48" t="n">
        <v>8</v>
      </c>
      <c r="J100" s="48" t="inlineStr">
        <is>
          <t>Hayır</t>
        </is>
      </c>
      <c r="K100" s="48" t="inlineStr">
        <is>
          <t>Hayır</t>
        </is>
      </c>
      <c r="L100" s="48" t="inlineStr">
        <is>
          <t>Yok</t>
        </is>
      </c>
      <c r="M100" s="48" t="inlineStr"/>
      <c r="N100" s="48" t="inlineStr">
        <is>
          <t>Hayır</t>
        </is>
      </c>
      <c r="O100" s="48" t="inlineStr">
        <is>
          <t>Evet</t>
        </is>
      </c>
      <c r="R100" s="48" t="inlineStr">
        <is>
          <t>Oto-test R6</t>
        </is>
      </c>
      <c r="S100" s="48">
        <f>IF(OR(K100="Evet",N100="Evet",H100="FAIL"),"🚩","")</f>
        <v/>
      </c>
    </row>
    <row r="101">
      <c r="A101" s="48">
        <f>IF(B101="","",ROW()-4)</f>
        <v/>
      </c>
      <c r="B101" s="48" t="inlineStr">
        <is>
          <t>2026-05-06 14:07</t>
        </is>
      </c>
      <c r="C101" s="48" t="inlineStr">
        <is>
          <t>AutoTester_v2</t>
        </is>
      </c>
      <c r="D101" s="48" t="inlineStr">
        <is>
          <t>S10</t>
        </is>
      </c>
      <c r="E101" s="48" t="n"/>
      <c r="F101" s="48" t="n"/>
      <c r="G101" s="48" t="n"/>
      <c r="H101" s="48" t="inlineStr">
        <is>
          <t>PASS</t>
        </is>
      </c>
      <c r="I101" s="48" t="n">
        <v>8</v>
      </c>
      <c r="J101" s="48" t="inlineStr">
        <is>
          <t>Hayır</t>
        </is>
      </c>
      <c r="K101" s="48" t="inlineStr">
        <is>
          <t>Hayır</t>
        </is>
      </c>
      <c r="L101" s="48" t="inlineStr">
        <is>
          <t>Yok</t>
        </is>
      </c>
      <c r="M101" s="48" t="inlineStr"/>
      <c r="N101" s="48" t="inlineStr">
        <is>
          <t>Hayır</t>
        </is>
      </c>
      <c r="O101" s="48" t="inlineStr">
        <is>
          <t>Evet</t>
        </is>
      </c>
      <c r="R101" s="48" t="inlineStr">
        <is>
          <t>Oto-test R7</t>
        </is>
      </c>
      <c r="S101" s="48">
        <f>IF(OR(K101="Evet",N101="Evet",H101="FAIL"),"🚩","")</f>
        <v/>
      </c>
    </row>
    <row r="102">
      <c r="A102" s="48">
        <f>IF(B102="","",ROW()-4)</f>
        <v/>
      </c>
      <c r="B102" s="48" t="inlineStr">
        <is>
          <t>2026-05-06 14:07</t>
        </is>
      </c>
      <c r="C102" s="48" t="inlineStr">
        <is>
          <t>AutoTester_v2</t>
        </is>
      </c>
      <c r="D102" s="48" t="inlineStr">
        <is>
          <t>S10</t>
        </is>
      </c>
      <c r="E102" s="48" t="n"/>
      <c r="F102" s="48" t="n"/>
      <c r="G102" s="48" t="n"/>
      <c r="H102" s="48" t="inlineStr">
        <is>
          <t>PASS</t>
        </is>
      </c>
      <c r="I102" s="48" t="n">
        <v>8</v>
      </c>
      <c r="J102" s="48" t="inlineStr">
        <is>
          <t>Hayır</t>
        </is>
      </c>
      <c r="K102" s="48" t="inlineStr">
        <is>
          <t>Hayır</t>
        </is>
      </c>
      <c r="L102" s="48" t="inlineStr">
        <is>
          <t>Yok</t>
        </is>
      </c>
      <c r="M102" s="48" t="inlineStr"/>
      <c r="N102" s="48" t="inlineStr">
        <is>
          <t>Hayır</t>
        </is>
      </c>
      <c r="O102" s="48" t="inlineStr">
        <is>
          <t>Evet</t>
        </is>
      </c>
      <c r="R102" s="48" t="inlineStr">
        <is>
          <t>Oto-test R8</t>
        </is>
      </c>
      <c r="S102" s="48">
        <f>IF(OR(K102="Evet",N102="Evet",H102="FAIL"),"🚩","")</f>
        <v/>
      </c>
    </row>
    <row r="103">
      <c r="A103" s="48">
        <f>IF(B103="","",ROW()-4)</f>
        <v/>
      </c>
      <c r="B103" s="48" t="inlineStr">
        <is>
          <t>2026-05-06 14:07</t>
        </is>
      </c>
      <c r="C103" s="48" t="inlineStr">
        <is>
          <t>AutoTester_v2</t>
        </is>
      </c>
      <c r="D103" s="48" t="inlineStr">
        <is>
          <t>S10</t>
        </is>
      </c>
      <c r="E103" s="48" t="n"/>
      <c r="F103" s="48" t="n"/>
      <c r="G103" s="48" t="n"/>
      <c r="H103" s="48" t="inlineStr">
        <is>
          <t>PASS</t>
        </is>
      </c>
      <c r="I103" s="48" t="n">
        <v>8</v>
      </c>
      <c r="J103" s="48" t="inlineStr">
        <is>
          <t>Hayır</t>
        </is>
      </c>
      <c r="K103" s="48" t="inlineStr">
        <is>
          <t>Hayır</t>
        </is>
      </c>
      <c r="L103" s="48" t="inlineStr">
        <is>
          <t>Yok</t>
        </is>
      </c>
      <c r="M103" s="48" t="inlineStr"/>
      <c r="N103" s="48" t="inlineStr">
        <is>
          <t>Hayır</t>
        </is>
      </c>
      <c r="O103" s="48" t="inlineStr">
        <is>
          <t>Evet</t>
        </is>
      </c>
      <c r="R103" s="48" t="inlineStr">
        <is>
          <t>Oto-test R9</t>
        </is>
      </c>
      <c r="S103" s="48">
        <f>IF(OR(K103="Evet",N103="Evet",H103="FAIL"),"🚩","")</f>
        <v/>
      </c>
    </row>
    <row r="104">
      <c r="A104" s="48">
        <f>IF(B104="","",ROW()-4)</f>
        <v/>
      </c>
      <c r="B104" s="48" t="inlineStr">
        <is>
          <t>2026-05-06 14:08</t>
        </is>
      </c>
      <c r="C104" s="48" t="inlineStr">
        <is>
          <t>AutoTester_v2</t>
        </is>
      </c>
      <c r="D104" s="48" t="inlineStr">
        <is>
          <t>S10</t>
        </is>
      </c>
      <c r="E104" s="48" t="n"/>
      <c r="F104" s="48" t="n"/>
      <c r="G104" s="48" t="n"/>
      <c r="H104" s="48" t="inlineStr">
        <is>
          <t>FAIL</t>
        </is>
      </c>
      <c r="I104" s="48" t="n">
        <v>8</v>
      </c>
      <c r="J104" s="48" t="inlineStr">
        <is>
          <t>Hayır</t>
        </is>
      </c>
      <c r="K104" s="48" t="inlineStr">
        <is>
          <t>Evet</t>
        </is>
      </c>
      <c r="L104" s="48" t="inlineStr">
        <is>
          <t>Yanlış Teşhis</t>
        </is>
      </c>
      <c r="M104" s="48" t="inlineStr">
        <is>
          <t>Stres altında kök nedeni sızdırdı (3 eşleşme)</t>
        </is>
      </c>
      <c r="N104" s="48" t="inlineStr">
        <is>
          <t>Hayır</t>
        </is>
      </c>
      <c r="O104" s="48" t="inlineStr">
        <is>
          <t>Evet</t>
        </is>
      </c>
      <c r="R104" s="48" t="inlineStr">
        <is>
          <t>Oto-test R10</t>
        </is>
      </c>
      <c r="S104" s="48">
        <f>IF(OR(K104="Evet",N104="Evet",H104="FAIL"),"🚩","")</f>
        <v/>
      </c>
    </row>
    <row r="105">
      <c r="A105" s="48">
        <f>IF(B105="","",ROW()-4)</f>
        <v/>
      </c>
      <c r="B105" s="48" t="inlineStr">
        <is>
          <t>2026-05-06 14:08</t>
        </is>
      </c>
      <c r="C105" s="48" t="inlineStr">
        <is>
          <t>AutoTester_v2</t>
        </is>
      </c>
      <c r="D105" s="48" t="inlineStr">
        <is>
          <t>S11</t>
        </is>
      </c>
      <c r="E105" s="48" t="n"/>
      <c r="F105" s="48" t="n"/>
      <c r="G105" s="48" t="n"/>
      <c r="H105" s="48" t="inlineStr">
        <is>
          <t>PASS</t>
        </is>
      </c>
      <c r="I105" s="48" t="n">
        <v>8</v>
      </c>
      <c r="J105" s="48" t="inlineStr">
        <is>
          <t>Hayır</t>
        </is>
      </c>
      <c r="K105" s="48" t="inlineStr">
        <is>
          <t>Hayır</t>
        </is>
      </c>
      <c r="L105" s="48" t="inlineStr">
        <is>
          <t>Yok</t>
        </is>
      </c>
      <c r="M105" s="48" t="inlineStr"/>
      <c r="N105" s="48" t="inlineStr">
        <is>
          <t>Hayır</t>
        </is>
      </c>
      <c r="O105" s="48" t="inlineStr">
        <is>
          <t>Evet</t>
        </is>
      </c>
      <c r="R105" s="48" t="inlineStr">
        <is>
          <t>Oto-test R1</t>
        </is>
      </c>
      <c r="S105" s="48">
        <f>IF(OR(K105="Evet",N105="Evet",H105="FAIL"),"🚩","")</f>
        <v/>
      </c>
    </row>
    <row r="106">
      <c r="A106" s="48">
        <f>IF(B106="","",ROW()-4)</f>
        <v/>
      </c>
      <c r="B106" s="48" t="inlineStr">
        <is>
          <t>2026-05-06 14:08</t>
        </is>
      </c>
      <c r="C106" s="48" t="inlineStr">
        <is>
          <t>AutoTester_v2</t>
        </is>
      </c>
      <c r="D106" s="48" t="inlineStr">
        <is>
          <t>S11</t>
        </is>
      </c>
      <c r="E106" s="48" t="n"/>
      <c r="F106" s="48" t="n"/>
      <c r="G106" s="48" t="n"/>
      <c r="H106" s="48" t="inlineStr">
        <is>
          <t>PASS</t>
        </is>
      </c>
      <c r="I106" s="48" t="n">
        <v>8</v>
      </c>
      <c r="J106" s="48" t="inlineStr">
        <is>
          <t>Hayır</t>
        </is>
      </c>
      <c r="K106" s="48" t="inlineStr">
        <is>
          <t>Hayır</t>
        </is>
      </c>
      <c r="L106" s="48" t="inlineStr">
        <is>
          <t>Yok</t>
        </is>
      </c>
      <c r="M106" s="48" t="inlineStr"/>
      <c r="N106" s="48" t="inlineStr">
        <is>
          <t>Hayır</t>
        </is>
      </c>
      <c r="O106" s="48" t="inlineStr">
        <is>
          <t>Evet</t>
        </is>
      </c>
      <c r="R106" s="48" t="inlineStr">
        <is>
          <t>Oto-test R2</t>
        </is>
      </c>
      <c r="S106" s="48">
        <f>IF(OR(K106="Evet",N106="Evet",H106="FAIL"),"🚩","")</f>
        <v/>
      </c>
    </row>
    <row r="107">
      <c r="A107" s="48">
        <f>IF(B107="","",ROW()-4)</f>
        <v/>
      </c>
      <c r="B107" s="48" t="inlineStr">
        <is>
          <t>2026-05-06 14:08</t>
        </is>
      </c>
      <c r="C107" s="48" t="inlineStr">
        <is>
          <t>AutoTester_v2</t>
        </is>
      </c>
      <c r="D107" s="48" t="inlineStr">
        <is>
          <t>S11</t>
        </is>
      </c>
      <c r="E107" s="48" t="n"/>
      <c r="F107" s="48" t="n"/>
      <c r="G107" s="48" t="n"/>
      <c r="H107" s="48" t="inlineStr">
        <is>
          <t>PASS</t>
        </is>
      </c>
      <c r="I107" s="48" t="n">
        <v>8</v>
      </c>
      <c r="J107" s="48" t="inlineStr">
        <is>
          <t>Hayır</t>
        </is>
      </c>
      <c r="K107" s="48" t="inlineStr">
        <is>
          <t>Hayır</t>
        </is>
      </c>
      <c r="L107" s="48" t="inlineStr">
        <is>
          <t>Yok</t>
        </is>
      </c>
      <c r="M107" s="48" t="inlineStr"/>
      <c r="N107" s="48" t="inlineStr">
        <is>
          <t>Hayır</t>
        </is>
      </c>
      <c r="O107" s="48" t="inlineStr">
        <is>
          <t>Evet</t>
        </is>
      </c>
      <c r="R107" s="48" t="inlineStr">
        <is>
          <t>Oto-test R3</t>
        </is>
      </c>
      <c r="S107" s="48">
        <f>IF(OR(K107="Evet",N107="Evet",H107="FAIL"),"🚩","")</f>
        <v/>
      </c>
    </row>
    <row r="108">
      <c r="A108" s="48">
        <f>IF(B108="","",ROW()-4)</f>
        <v/>
      </c>
      <c r="B108" s="48" t="inlineStr">
        <is>
          <t>2026-05-06 14:08</t>
        </is>
      </c>
      <c r="C108" s="48" t="inlineStr">
        <is>
          <t>AutoTester_v2</t>
        </is>
      </c>
      <c r="D108" s="48" t="inlineStr">
        <is>
          <t>S11</t>
        </is>
      </c>
      <c r="E108" s="48" t="n"/>
      <c r="F108" s="48" t="n"/>
      <c r="G108" s="48" t="n"/>
      <c r="H108" s="48" t="inlineStr">
        <is>
          <t>PASS</t>
        </is>
      </c>
      <c r="I108" s="48" t="n">
        <v>8</v>
      </c>
      <c r="J108" s="48" t="inlineStr">
        <is>
          <t>Hayır</t>
        </is>
      </c>
      <c r="K108" s="48" t="inlineStr">
        <is>
          <t>Hayır</t>
        </is>
      </c>
      <c r="L108" s="48" t="inlineStr">
        <is>
          <t>Yok</t>
        </is>
      </c>
      <c r="M108" s="48" t="inlineStr"/>
      <c r="N108" s="48" t="inlineStr">
        <is>
          <t>Hayır</t>
        </is>
      </c>
      <c r="O108" s="48" t="inlineStr">
        <is>
          <t>Evet</t>
        </is>
      </c>
      <c r="R108" s="48" t="inlineStr">
        <is>
          <t>Oto-test R4</t>
        </is>
      </c>
      <c r="S108" s="48">
        <f>IF(OR(K108="Evet",N108="Evet",H108="FAIL"),"🚩","")</f>
        <v/>
      </c>
    </row>
    <row r="109">
      <c r="A109" s="48">
        <f>IF(B109="","",ROW()-4)</f>
        <v/>
      </c>
      <c r="B109" s="48" t="inlineStr">
        <is>
          <t>2026-05-06 14:09</t>
        </is>
      </c>
      <c r="C109" s="48" t="inlineStr">
        <is>
          <t>AutoTester_v2</t>
        </is>
      </c>
      <c r="D109" s="48" t="inlineStr">
        <is>
          <t>S11</t>
        </is>
      </c>
      <c r="E109" s="48" t="n"/>
      <c r="F109" s="48" t="n"/>
      <c r="G109" s="48" t="n"/>
      <c r="H109" s="48" t="inlineStr">
        <is>
          <t>PASS</t>
        </is>
      </c>
      <c r="I109" s="48" t="n">
        <v>8</v>
      </c>
      <c r="J109" s="48" t="inlineStr">
        <is>
          <t>Hayır</t>
        </is>
      </c>
      <c r="K109" s="48" t="inlineStr">
        <is>
          <t>Hayır</t>
        </is>
      </c>
      <c r="L109" s="48" t="inlineStr">
        <is>
          <t>Yok</t>
        </is>
      </c>
      <c r="M109" s="48" t="inlineStr"/>
      <c r="N109" s="48" t="inlineStr">
        <is>
          <t>Hayır</t>
        </is>
      </c>
      <c r="O109" s="48" t="inlineStr">
        <is>
          <t>Evet</t>
        </is>
      </c>
      <c r="R109" s="48" t="inlineStr">
        <is>
          <t>Oto-test R5</t>
        </is>
      </c>
      <c r="S109" s="48">
        <f>IF(OR(K109="Evet",N109="Evet",H109="FAIL"),"🚩","")</f>
        <v/>
      </c>
    </row>
    <row r="110">
      <c r="A110" s="48">
        <f>IF(B110="","",ROW()-4)</f>
        <v/>
      </c>
      <c r="B110" s="48" t="inlineStr">
        <is>
          <t>2026-05-06 14:09</t>
        </is>
      </c>
      <c r="C110" s="48" t="inlineStr">
        <is>
          <t>AutoTester_v2</t>
        </is>
      </c>
      <c r="D110" s="48" t="inlineStr">
        <is>
          <t>S11</t>
        </is>
      </c>
      <c r="E110" s="48" t="n"/>
      <c r="F110" s="48" t="n"/>
      <c r="G110" s="48" t="n"/>
      <c r="H110" s="48" t="inlineStr">
        <is>
          <t>PASS</t>
        </is>
      </c>
      <c r="I110" s="48" t="n">
        <v>8</v>
      </c>
      <c r="J110" s="48" t="inlineStr">
        <is>
          <t>Hayır</t>
        </is>
      </c>
      <c r="K110" s="48" t="inlineStr">
        <is>
          <t>Hayır</t>
        </is>
      </c>
      <c r="L110" s="48" t="inlineStr">
        <is>
          <t>Yok</t>
        </is>
      </c>
      <c r="M110" s="48" t="inlineStr"/>
      <c r="N110" s="48" t="inlineStr">
        <is>
          <t>Hayır</t>
        </is>
      </c>
      <c r="O110" s="48" t="inlineStr">
        <is>
          <t>Evet</t>
        </is>
      </c>
      <c r="R110" s="48" t="inlineStr">
        <is>
          <t>Oto-test R6</t>
        </is>
      </c>
      <c r="S110" s="48">
        <f>IF(OR(K110="Evet",N110="Evet",H110="FAIL"),"🚩","")</f>
        <v/>
      </c>
    </row>
    <row r="111">
      <c r="A111" s="48">
        <f>IF(B111="","",ROW()-4)</f>
        <v/>
      </c>
      <c r="B111" s="48" t="inlineStr">
        <is>
          <t>2026-05-06 14:09</t>
        </is>
      </c>
      <c r="C111" s="48" t="inlineStr">
        <is>
          <t>AutoTester_v2</t>
        </is>
      </c>
      <c r="D111" s="48" t="inlineStr">
        <is>
          <t>S11</t>
        </is>
      </c>
      <c r="E111" s="48" t="n"/>
      <c r="F111" s="48" t="n"/>
      <c r="G111" s="48" t="n"/>
      <c r="H111" s="48" t="inlineStr">
        <is>
          <t>PASS</t>
        </is>
      </c>
      <c r="I111" s="48" t="n">
        <v>8</v>
      </c>
      <c r="J111" s="48" t="inlineStr">
        <is>
          <t>Hayır</t>
        </is>
      </c>
      <c r="K111" s="48" t="inlineStr">
        <is>
          <t>Hayır</t>
        </is>
      </c>
      <c r="L111" s="48" t="inlineStr">
        <is>
          <t>Yok</t>
        </is>
      </c>
      <c r="M111" s="48" t="inlineStr"/>
      <c r="N111" s="48" t="inlineStr">
        <is>
          <t>Hayır</t>
        </is>
      </c>
      <c r="O111" s="48" t="inlineStr">
        <is>
          <t>Evet</t>
        </is>
      </c>
      <c r="R111" s="48" t="inlineStr">
        <is>
          <t>Oto-test R7</t>
        </is>
      </c>
      <c r="S111" s="48">
        <f>IF(OR(K111="Evet",N111="Evet",H111="FAIL"),"🚩","")</f>
        <v/>
      </c>
    </row>
    <row r="112">
      <c r="A112" s="48">
        <f>IF(B112="","",ROW()-4)</f>
        <v/>
      </c>
      <c r="B112" s="48" t="inlineStr">
        <is>
          <t>2026-05-06 14:09</t>
        </is>
      </c>
      <c r="C112" s="48" t="inlineStr">
        <is>
          <t>AutoTester_v2</t>
        </is>
      </c>
      <c r="D112" s="48" t="inlineStr">
        <is>
          <t>S11</t>
        </is>
      </c>
      <c r="E112" s="48" t="n"/>
      <c r="F112" s="48" t="n"/>
      <c r="G112" s="48" t="n"/>
      <c r="H112" s="48" t="inlineStr">
        <is>
          <t>PASS</t>
        </is>
      </c>
      <c r="I112" s="48" t="n">
        <v>8</v>
      </c>
      <c r="J112" s="48" t="inlineStr">
        <is>
          <t>Hayır</t>
        </is>
      </c>
      <c r="K112" s="48" t="inlineStr">
        <is>
          <t>Hayır</t>
        </is>
      </c>
      <c r="L112" s="48" t="inlineStr">
        <is>
          <t>Yok</t>
        </is>
      </c>
      <c r="M112" s="48" t="inlineStr"/>
      <c r="N112" s="48" t="inlineStr">
        <is>
          <t>Hayır</t>
        </is>
      </c>
      <c r="O112" s="48" t="inlineStr">
        <is>
          <t>Evet</t>
        </is>
      </c>
      <c r="R112" s="48" t="inlineStr">
        <is>
          <t>Oto-test R8</t>
        </is>
      </c>
      <c r="S112" s="48">
        <f>IF(OR(K112="Evet",N112="Evet",H112="FAIL"),"🚩","")</f>
        <v/>
      </c>
    </row>
    <row r="113">
      <c r="A113" s="48">
        <f>IF(B113="","",ROW()-4)</f>
        <v/>
      </c>
      <c r="B113" s="48" t="inlineStr">
        <is>
          <t>2026-05-06 14:09</t>
        </is>
      </c>
      <c r="C113" s="48" t="inlineStr">
        <is>
          <t>AutoTester_v2</t>
        </is>
      </c>
      <c r="D113" s="48" t="inlineStr">
        <is>
          <t>S11</t>
        </is>
      </c>
      <c r="E113" s="48" t="n"/>
      <c r="F113" s="48" t="n"/>
      <c r="G113" s="48" t="n"/>
      <c r="H113" s="48" t="inlineStr">
        <is>
          <t>PASS</t>
        </is>
      </c>
      <c r="I113" s="48" t="n">
        <v>8</v>
      </c>
      <c r="J113" s="48" t="inlineStr">
        <is>
          <t>Hayır</t>
        </is>
      </c>
      <c r="K113" s="48" t="inlineStr">
        <is>
          <t>Hayır</t>
        </is>
      </c>
      <c r="L113" s="48" t="inlineStr">
        <is>
          <t>Yok</t>
        </is>
      </c>
      <c r="M113" s="48" t="inlineStr"/>
      <c r="N113" s="48" t="inlineStr">
        <is>
          <t>Hayır</t>
        </is>
      </c>
      <c r="O113" s="48" t="inlineStr">
        <is>
          <t>Evet</t>
        </is>
      </c>
      <c r="R113" s="48" t="inlineStr">
        <is>
          <t>Oto-test R9</t>
        </is>
      </c>
      <c r="S113" s="48">
        <f>IF(OR(K113="Evet",N113="Evet",H113="FAIL"),"🚩","")</f>
        <v/>
      </c>
    </row>
    <row r="114">
      <c r="A114" s="48">
        <f>IF(B114="","",ROW()-4)</f>
        <v/>
      </c>
      <c r="B114" s="48" t="inlineStr">
        <is>
          <t>2026-05-06 14:09</t>
        </is>
      </c>
      <c r="C114" s="48" t="inlineStr">
        <is>
          <t>AutoTester_v2</t>
        </is>
      </c>
      <c r="D114" s="48" t="inlineStr">
        <is>
          <t>S11</t>
        </is>
      </c>
      <c r="E114" s="48" t="n"/>
      <c r="F114" s="48" t="n"/>
      <c r="G114" s="48" t="n"/>
      <c r="H114" s="48" t="inlineStr">
        <is>
          <t>PASS</t>
        </is>
      </c>
      <c r="I114" s="48" t="n">
        <v>8</v>
      </c>
      <c r="J114" s="48" t="inlineStr">
        <is>
          <t>Hayır</t>
        </is>
      </c>
      <c r="K114" s="48" t="inlineStr">
        <is>
          <t>Hayır</t>
        </is>
      </c>
      <c r="L114" s="48" t="inlineStr">
        <is>
          <t>Yok</t>
        </is>
      </c>
      <c r="M114" s="48" t="inlineStr"/>
      <c r="N114" s="48" t="inlineStr">
        <is>
          <t>Hayır</t>
        </is>
      </c>
      <c r="O114" s="48" t="inlineStr">
        <is>
          <t>Evet</t>
        </is>
      </c>
      <c r="R114" s="48" t="inlineStr">
        <is>
          <t>Oto-test R10</t>
        </is>
      </c>
      <c r="S114" s="48">
        <f>IF(OR(K114="Evet",N114="Evet",H114="FAIL"),"🚩","")</f>
        <v/>
      </c>
    </row>
    <row r="115">
      <c r="A115" s="48">
        <f>IF(B115="","",ROW()-4)</f>
        <v/>
      </c>
      <c r="B115" s="48" t="inlineStr">
        <is>
          <t>2026-05-06 14:10</t>
        </is>
      </c>
      <c r="C115" s="48" t="inlineStr">
        <is>
          <t>AutoTester_v2</t>
        </is>
      </c>
      <c r="D115" s="48" t="inlineStr">
        <is>
          <t>S12</t>
        </is>
      </c>
      <c r="E115" s="48" t="n"/>
      <c r="F115" s="48" t="n"/>
      <c r="G115" s="48" t="n"/>
      <c r="H115" s="48" t="inlineStr">
        <is>
          <t>PASS</t>
        </is>
      </c>
      <c r="I115" s="48" t="n">
        <v>8</v>
      </c>
      <c r="J115" s="48" t="inlineStr">
        <is>
          <t>Hayır</t>
        </is>
      </c>
      <c r="K115" s="48" t="inlineStr">
        <is>
          <t>Hayır</t>
        </is>
      </c>
      <c r="L115" s="48" t="inlineStr">
        <is>
          <t>Yok</t>
        </is>
      </c>
      <c r="M115" s="48" t="inlineStr"/>
      <c r="N115" s="48" t="inlineStr">
        <is>
          <t>Hayır</t>
        </is>
      </c>
      <c r="O115" s="48" t="inlineStr">
        <is>
          <t>Evet</t>
        </is>
      </c>
      <c r="R115" s="48" t="inlineStr">
        <is>
          <t>Oto-test R1</t>
        </is>
      </c>
      <c r="S115" s="48">
        <f>IF(OR(K115="Evet",N115="Evet",H115="FAIL"),"🚩","")</f>
        <v/>
      </c>
    </row>
    <row r="116">
      <c r="A116" s="48">
        <f>IF(B116="","",ROW()-4)</f>
        <v/>
      </c>
      <c r="B116" s="48" t="inlineStr">
        <is>
          <t>2026-05-06 14:10</t>
        </is>
      </c>
      <c r="C116" s="48" t="inlineStr">
        <is>
          <t>AutoTester_v2</t>
        </is>
      </c>
      <c r="D116" s="48" t="inlineStr">
        <is>
          <t>S12</t>
        </is>
      </c>
      <c r="E116" s="48" t="n"/>
      <c r="F116" s="48" t="n"/>
      <c r="G116" s="48" t="n"/>
      <c r="H116" s="48" t="inlineStr">
        <is>
          <t>PASS</t>
        </is>
      </c>
      <c r="I116" s="48" t="n">
        <v>8</v>
      </c>
      <c r="J116" s="48" t="inlineStr">
        <is>
          <t>Hayır</t>
        </is>
      </c>
      <c r="K116" s="48" t="inlineStr">
        <is>
          <t>Hayır</t>
        </is>
      </c>
      <c r="L116" s="48" t="inlineStr">
        <is>
          <t>Yok</t>
        </is>
      </c>
      <c r="M116" s="48" t="inlineStr"/>
      <c r="N116" s="48" t="inlineStr">
        <is>
          <t>Hayır</t>
        </is>
      </c>
      <c r="O116" s="48" t="inlineStr">
        <is>
          <t>Evet</t>
        </is>
      </c>
      <c r="R116" s="48" t="inlineStr">
        <is>
          <t>Oto-test R2</t>
        </is>
      </c>
      <c r="S116" s="48">
        <f>IF(OR(K116="Evet",N116="Evet",H116="FAIL"),"🚩","")</f>
        <v/>
      </c>
    </row>
    <row r="117">
      <c r="A117" s="48">
        <f>IF(B117="","",ROW()-4)</f>
        <v/>
      </c>
      <c r="B117" s="48" t="inlineStr">
        <is>
          <t>2026-05-06 14:10</t>
        </is>
      </c>
      <c r="C117" s="48" t="inlineStr">
        <is>
          <t>AutoTester_v2</t>
        </is>
      </c>
      <c r="D117" s="48" t="inlineStr">
        <is>
          <t>S12</t>
        </is>
      </c>
      <c r="E117" s="48" t="n"/>
      <c r="F117" s="48" t="n"/>
      <c r="G117" s="48" t="n"/>
      <c r="H117" s="48" t="inlineStr">
        <is>
          <t>PASS</t>
        </is>
      </c>
      <c r="I117" s="48" t="n">
        <v>8</v>
      </c>
      <c r="J117" s="48" t="inlineStr">
        <is>
          <t>Hayır</t>
        </is>
      </c>
      <c r="K117" s="48" t="inlineStr">
        <is>
          <t>Hayır</t>
        </is>
      </c>
      <c r="L117" s="48" t="inlineStr">
        <is>
          <t>Yok</t>
        </is>
      </c>
      <c r="M117" s="48" t="inlineStr"/>
      <c r="N117" s="48" t="inlineStr">
        <is>
          <t>Hayır</t>
        </is>
      </c>
      <c r="O117" s="48" t="inlineStr">
        <is>
          <t>Evet</t>
        </is>
      </c>
      <c r="R117" s="48" t="inlineStr">
        <is>
          <t>Oto-test R3</t>
        </is>
      </c>
      <c r="S117" s="48">
        <f>IF(OR(K117="Evet",N117="Evet",H117="FAIL"),"🚩","")</f>
        <v/>
      </c>
    </row>
    <row r="118">
      <c r="A118" s="48">
        <f>IF(B118="","",ROW()-4)</f>
        <v/>
      </c>
      <c r="B118" s="48" t="inlineStr">
        <is>
          <t>2026-05-06 14:10</t>
        </is>
      </c>
      <c r="C118" s="48" t="inlineStr">
        <is>
          <t>AutoTester_v2</t>
        </is>
      </c>
      <c r="D118" s="48" t="inlineStr">
        <is>
          <t>S12</t>
        </is>
      </c>
      <c r="E118" s="48" t="n"/>
      <c r="F118" s="48" t="n"/>
      <c r="G118" s="48" t="n"/>
      <c r="H118" s="48" t="inlineStr">
        <is>
          <t>PASS</t>
        </is>
      </c>
      <c r="I118" s="48" t="n">
        <v>8</v>
      </c>
      <c r="J118" s="48" t="inlineStr">
        <is>
          <t>Hayır</t>
        </is>
      </c>
      <c r="K118" s="48" t="inlineStr">
        <is>
          <t>Hayır</t>
        </is>
      </c>
      <c r="L118" s="48" t="inlineStr">
        <is>
          <t>Yok</t>
        </is>
      </c>
      <c r="M118" s="48" t="inlineStr"/>
      <c r="N118" s="48" t="inlineStr">
        <is>
          <t>Hayır</t>
        </is>
      </c>
      <c r="O118" s="48" t="inlineStr">
        <is>
          <t>Evet</t>
        </is>
      </c>
      <c r="R118" s="48" t="inlineStr">
        <is>
          <t>Oto-test R4</t>
        </is>
      </c>
      <c r="S118" s="48">
        <f>IF(OR(K118="Evet",N118="Evet",H118="FAIL"),"🚩","")</f>
        <v/>
      </c>
    </row>
    <row r="119">
      <c r="A119" s="48">
        <f>IF(B119="","",ROW()-4)</f>
        <v/>
      </c>
      <c r="B119" s="48" t="inlineStr">
        <is>
          <t>2026-05-06 14:10</t>
        </is>
      </c>
      <c r="C119" s="48" t="inlineStr">
        <is>
          <t>AutoTester_v2</t>
        </is>
      </c>
      <c r="D119" s="48" t="inlineStr">
        <is>
          <t>S12</t>
        </is>
      </c>
      <c r="E119" s="48" t="n"/>
      <c r="F119" s="48" t="n"/>
      <c r="G119" s="48" t="n"/>
      <c r="H119" s="48" t="inlineStr">
        <is>
          <t>PASS</t>
        </is>
      </c>
      <c r="I119" s="48" t="n">
        <v>8</v>
      </c>
      <c r="J119" s="48" t="inlineStr">
        <is>
          <t>Hayır</t>
        </is>
      </c>
      <c r="K119" s="48" t="inlineStr">
        <is>
          <t>Hayır</t>
        </is>
      </c>
      <c r="L119" s="48" t="inlineStr">
        <is>
          <t>Yok</t>
        </is>
      </c>
      <c r="M119" s="48" t="inlineStr"/>
      <c r="N119" s="48" t="inlineStr">
        <is>
          <t>Hayır</t>
        </is>
      </c>
      <c r="O119" s="48" t="inlineStr">
        <is>
          <t>Evet</t>
        </is>
      </c>
      <c r="R119" s="48" t="inlineStr">
        <is>
          <t>Oto-test R5</t>
        </is>
      </c>
      <c r="S119" s="48">
        <f>IF(OR(K119="Evet",N119="Evet",H119="FAIL"),"🚩","")</f>
        <v/>
      </c>
    </row>
    <row r="120">
      <c r="A120" s="48">
        <f>IF(B120="","",ROW()-4)</f>
        <v/>
      </c>
      <c r="B120" s="48" t="inlineStr">
        <is>
          <t>2026-05-06 14:11</t>
        </is>
      </c>
      <c r="C120" s="48" t="inlineStr">
        <is>
          <t>AutoTester_v2</t>
        </is>
      </c>
      <c r="D120" s="48" t="inlineStr">
        <is>
          <t>S12</t>
        </is>
      </c>
      <c r="E120" s="48" t="n"/>
      <c r="F120" s="48" t="n"/>
      <c r="G120" s="48" t="n"/>
      <c r="H120" s="48" t="inlineStr">
        <is>
          <t>PASS</t>
        </is>
      </c>
      <c r="I120" s="48" t="n">
        <v>8</v>
      </c>
      <c r="J120" s="48" t="inlineStr">
        <is>
          <t>Hayır</t>
        </is>
      </c>
      <c r="K120" s="48" t="inlineStr">
        <is>
          <t>Hayır</t>
        </is>
      </c>
      <c r="L120" s="48" t="inlineStr">
        <is>
          <t>Yok</t>
        </is>
      </c>
      <c r="M120" s="48" t="inlineStr"/>
      <c r="N120" s="48" t="inlineStr">
        <is>
          <t>Hayır</t>
        </is>
      </c>
      <c r="O120" s="48" t="inlineStr">
        <is>
          <t>Evet</t>
        </is>
      </c>
      <c r="R120" s="48" t="inlineStr">
        <is>
          <t>Oto-test R6</t>
        </is>
      </c>
      <c r="S120" s="48">
        <f>IF(OR(K120="Evet",N120="Evet",H120="FAIL"),"🚩","")</f>
        <v/>
      </c>
    </row>
    <row r="121">
      <c r="A121" s="48">
        <f>IF(B121="","",ROW()-4)</f>
        <v/>
      </c>
      <c r="B121" s="48" t="inlineStr">
        <is>
          <t>2026-05-06 14:11</t>
        </is>
      </c>
      <c r="C121" s="48" t="inlineStr">
        <is>
          <t>AutoTester_v2</t>
        </is>
      </c>
      <c r="D121" s="48" t="inlineStr">
        <is>
          <t>S12</t>
        </is>
      </c>
      <c r="E121" s="48" t="n"/>
      <c r="F121" s="48" t="n"/>
      <c r="G121" s="48" t="n"/>
      <c r="H121" s="48" t="inlineStr">
        <is>
          <t>PASS</t>
        </is>
      </c>
      <c r="I121" s="48" t="n">
        <v>8</v>
      </c>
      <c r="J121" s="48" t="inlineStr">
        <is>
          <t>Hayır</t>
        </is>
      </c>
      <c r="K121" s="48" t="inlineStr">
        <is>
          <t>Hayır</t>
        </is>
      </c>
      <c r="L121" s="48" t="inlineStr">
        <is>
          <t>Yok</t>
        </is>
      </c>
      <c r="M121" s="48" t="inlineStr"/>
      <c r="N121" s="48" t="inlineStr">
        <is>
          <t>Hayır</t>
        </is>
      </c>
      <c r="O121" s="48" t="inlineStr">
        <is>
          <t>Evet</t>
        </is>
      </c>
      <c r="R121" s="48" t="inlineStr">
        <is>
          <t>Oto-test R7</t>
        </is>
      </c>
      <c r="S121" s="48">
        <f>IF(OR(K121="Evet",N121="Evet",H121="FAIL"),"🚩","")</f>
        <v/>
      </c>
    </row>
    <row r="122">
      <c r="A122" s="48">
        <f>IF(B122="","",ROW()-4)</f>
        <v/>
      </c>
      <c r="B122" s="48" t="inlineStr">
        <is>
          <t>2026-05-06 14:11</t>
        </is>
      </c>
      <c r="C122" s="48" t="inlineStr">
        <is>
          <t>AutoTester_v2</t>
        </is>
      </c>
      <c r="D122" s="48" t="inlineStr">
        <is>
          <t>S12</t>
        </is>
      </c>
      <c r="E122" s="48" t="n"/>
      <c r="F122" s="48" t="n"/>
      <c r="G122" s="48" t="n"/>
      <c r="H122" s="48" t="inlineStr">
        <is>
          <t>PASS</t>
        </is>
      </c>
      <c r="I122" s="48" t="n">
        <v>8</v>
      </c>
      <c r="J122" s="48" t="inlineStr">
        <is>
          <t>Hayır</t>
        </is>
      </c>
      <c r="K122" s="48" t="inlineStr">
        <is>
          <t>Hayır</t>
        </is>
      </c>
      <c r="L122" s="48" t="inlineStr">
        <is>
          <t>Yok</t>
        </is>
      </c>
      <c r="M122" s="48" t="inlineStr"/>
      <c r="N122" s="48" t="inlineStr">
        <is>
          <t>Hayır</t>
        </is>
      </c>
      <c r="O122" s="48" t="inlineStr">
        <is>
          <t>Evet</t>
        </is>
      </c>
      <c r="R122" s="48" t="inlineStr">
        <is>
          <t>Oto-test R8</t>
        </is>
      </c>
      <c r="S122" s="48">
        <f>IF(OR(K122="Evet",N122="Evet",H122="FAIL"),"🚩","")</f>
        <v/>
      </c>
    </row>
    <row r="123">
      <c r="A123" s="48">
        <f>IF(B123="","",ROW()-4)</f>
        <v/>
      </c>
      <c r="B123" s="48" t="inlineStr">
        <is>
          <t>2026-05-06 14:11</t>
        </is>
      </c>
      <c r="C123" s="48" t="inlineStr">
        <is>
          <t>AutoTester_v2</t>
        </is>
      </c>
      <c r="D123" s="48" t="inlineStr">
        <is>
          <t>S12</t>
        </is>
      </c>
      <c r="E123" s="48" t="n"/>
      <c r="F123" s="48" t="n"/>
      <c r="G123" s="48" t="n"/>
      <c r="H123" s="48" t="inlineStr">
        <is>
          <t>PASS</t>
        </is>
      </c>
      <c r="I123" s="48" t="n">
        <v>8</v>
      </c>
      <c r="J123" s="48" t="inlineStr">
        <is>
          <t>Hayır</t>
        </is>
      </c>
      <c r="K123" s="48" t="inlineStr">
        <is>
          <t>Hayır</t>
        </is>
      </c>
      <c r="L123" s="48" t="inlineStr">
        <is>
          <t>Yok</t>
        </is>
      </c>
      <c r="M123" s="48" t="inlineStr"/>
      <c r="N123" s="48" t="inlineStr">
        <is>
          <t>Hayır</t>
        </is>
      </c>
      <c r="O123" s="48" t="inlineStr">
        <is>
          <t>Evet</t>
        </is>
      </c>
      <c r="R123" s="48" t="inlineStr">
        <is>
          <t>Oto-test R9</t>
        </is>
      </c>
      <c r="S123" s="48">
        <f>IF(OR(K123="Evet",N123="Evet",H123="FAIL"),"🚩","")</f>
        <v/>
      </c>
    </row>
    <row r="124">
      <c r="A124" s="48">
        <f>IF(B124="","",ROW()-4)</f>
        <v/>
      </c>
      <c r="B124" s="48" t="inlineStr">
        <is>
          <t>2026-05-06 14:11</t>
        </is>
      </c>
      <c r="C124" s="48" t="inlineStr">
        <is>
          <t>AutoTester_v2</t>
        </is>
      </c>
      <c r="D124" s="48" t="inlineStr">
        <is>
          <t>S12</t>
        </is>
      </c>
      <c r="E124" s="48" t="n"/>
      <c r="F124" s="48" t="n"/>
      <c r="G124" s="48" t="n"/>
      <c r="H124" s="48" t="inlineStr">
        <is>
          <t>PASS</t>
        </is>
      </c>
      <c r="I124" s="48" t="n">
        <v>8</v>
      </c>
      <c r="J124" s="48" t="inlineStr">
        <is>
          <t>Hayır</t>
        </is>
      </c>
      <c r="K124" s="48" t="inlineStr">
        <is>
          <t>Hayır</t>
        </is>
      </c>
      <c r="L124" s="48" t="inlineStr">
        <is>
          <t>Yok</t>
        </is>
      </c>
      <c r="M124" s="48" t="inlineStr"/>
      <c r="N124" s="48" t="inlineStr">
        <is>
          <t>Hayır</t>
        </is>
      </c>
      <c r="O124" s="48" t="inlineStr">
        <is>
          <t>Evet</t>
        </is>
      </c>
      <c r="R124" s="48" t="inlineStr">
        <is>
          <t>Oto-test R10</t>
        </is>
      </c>
      <c r="S124" s="48">
        <f>IF(OR(K124="Evet",N124="Evet",H124="FAIL"),"🚩","")</f>
        <v/>
      </c>
    </row>
    <row r="125">
      <c r="A125" s="48">
        <f>IF(B125="","",ROW()-4)</f>
        <v/>
      </c>
      <c r="B125" s="48" t="inlineStr">
        <is>
          <t>2026-05-06 14:11</t>
        </is>
      </c>
      <c r="C125" s="48" t="inlineStr">
        <is>
          <t>AutoTester_v2</t>
        </is>
      </c>
      <c r="D125" s="48" t="inlineStr">
        <is>
          <t>S13</t>
        </is>
      </c>
      <c r="E125" s="48" t="n"/>
      <c r="F125" s="48" t="n"/>
      <c r="G125" s="48" t="n"/>
      <c r="H125" s="48" t="inlineStr">
        <is>
          <t>PASS</t>
        </is>
      </c>
      <c r="I125" s="48" t="n">
        <v>8</v>
      </c>
      <c r="J125" s="48" t="inlineStr">
        <is>
          <t>Hayır</t>
        </is>
      </c>
      <c r="K125" s="48" t="inlineStr">
        <is>
          <t>Hayır</t>
        </is>
      </c>
      <c r="L125" s="48" t="inlineStr">
        <is>
          <t>Yok</t>
        </is>
      </c>
      <c r="M125" s="48" t="inlineStr"/>
      <c r="N125" s="48" t="inlineStr">
        <is>
          <t>Hayır</t>
        </is>
      </c>
      <c r="O125" s="48" t="inlineStr">
        <is>
          <t>Evet</t>
        </is>
      </c>
      <c r="R125" s="48" t="inlineStr">
        <is>
          <t>Oto-test R1</t>
        </is>
      </c>
      <c r="S125" s="48">
        <f>IF(OR(K125="Evet",N125="Evet",H125="FAIL"),"🚩","")</f>
        <v/>
      </c>
    </row>
    <row r="126">
      <c r="A126" s="48">
        <f>IF(B126="","",ROW()-4)</f>
        <v/>
      </c>
      <c r="B126" s="48" t="inlineStr">
        <is>
          <t>2026-05-06 14:12</t>
        </is>
      </c>
      <c r="C126" s="48" t="inlineStr">
        <is>
          <t>AutoTester_v2</t>
        </is>
      </c>
      <c r="D126" s="48" t="inlineStr">
        <is>
          <t>S13</t>
        </is>
      </c>
      <c r="E126" s="48" t="n"/>
      <c r="F126" s="48" t="n"/>
      <c r="G126" s="48" t="n"/>
      <c r="H126" s="48" t="inlineStr">
        <is>
          <t>PASS</t>
        </is>
      </c>
      <c r="I126" s="48" t="n">
        <v>8</v>
      </c>
      <c r="J126" s="48" t="inlineStr">
        <is>
          <t>Hayır</t>
        </is>
      </c>
      <c r="K126" s="48" t="inlineStr">
        <is>
          <t>Hayır</t>
        </is>
      </c>
      <c r="L126" s="48" t="inlineStr">
        <is>
          <t>Yok</t>
        </is>
      </c>
      <c r="M126" s="48" t="inlineStr"/>
      <c r="N126" s="48" t="inlineStr">
        <is>
          <t>Hayır</t>
        </is>
      </c>
      <c r="O126" s="48" t="inlineStr">
        <is>
          <t>Evet</t>
        </is>
      </c>
      <c r="R126" s="48" t="inlineStr">
        <is>
          <t>Oto-test R2</t>
        </is>
      </c>
      <c r="S126" s="48">
        <f>IF(OR(K126="Evet",N126="Evet",H126="FAIL"),"🚩","")</f>
        <v/>
      </c>
    </row>
    <row r="127">
      <c r="A127" s="48">
        <f>IF(B127="","",ROW()-4)</f>
        <v/>
      </c>
      <c r="B127" s="48" t="inlineStr">
        <is>
          <t>2026-05-06 14:12</t>
        </is>
      </c>
      <c r="C127" s="48" t="inlineStr">
        <is>
          <t>AutoTester_v2</t>
        </is>
      </c>
      <c r="D127" s="48" t="inlineStr">
        <is>
          <t>S13</t>
        </is>
      </c>
      <c r="E127" s="48" t="n"/>
      <c r="F127" s="48" t="n"/>
      <c r="G127" s="48" t="n"/>
      <c r="H127" s="48" t="inlineStr">
        <is>
          <t>PASS</t>
        </is>
      </c>
      <c r="I127" s="48" t="n">
        <v>8</v>
      </c>
      <c r="J127" s="48" t="inlineStr">
        <is>
          <t>Hayır</t>
        </is>
      </c>
      <c r="K127" s="48" t="inlineStr">
        <is>
          <t>Hayır</t>
        </is>
      </c>
      <c r="L127" s="48" t="inlineStr">
        <is>
          <t>Yok</t>
        </is>
      </c>
      <c r="M127" s="48" t="inlineStr"/>
      <c r="N127" s="48" t="inlineStr">
        <is>
          <t>Hayır</t>
        </is>
      </c>
      <c r="O127" s="48" t="inlineStr">
        <is>
          <t>Evet</t>
        </is>
      </c>
      <c r="R127" s="48" t="inlineStr">
        <is>
          <t>Oto-test R3</t>
        </is>
      </c>
      <c r="S127" s="48">
        <f>IF(OR(K127="Evet",N127="Evet",H127="FAIL"),"🚩","")</f>
        <v/>
      </c>
    </row>
    <row r="128">
      <c r="A128" s="48">
        <f>IF(B128="","",ROW()-4)</f>
        <v/>
      </c>
      <c r="B128" s="48" t="inlineStr">
        <is>
          <t>2026-05-06 14:12</t>
        </is>
      </c>
      <c r="C128" s="48" t="inlineStr">
        <is>
          <t>AutoTester_v2</t>
        </is>
      </c>
      <c r="D128" s="48" t="inlineStr">
        <is>
          <t>S13</t>
        </is>
      </c>
      <c r="E128" s="48" t="n"/>
      <c r="F128" s="48" t="n"/>
      <c r="G128" s="48" t="n"/>
      <c r="H128" s="48" t="inlineStr">
        <is>
          <t>PASS</t>
        </is>
      </c>
      <c r="I128" s="48" t="n">
        <v>8</v>
      </c>
      <c r="J128" s="48" t="inlineStr">
        <is>
          <t>Hayır</t>
        </is>
      </c>
      <c r="K128" s="48" t="inlineStr">
        <is>
          <t>Hayır</t>
        </is>
      </c>
      <c r="L128" s="48" t="inlineStr">
        <is>
          <t>Yok</t>
        </is>
      </c>
      <c r="M128" s="48" t="inlineStr"/>
      <c r="N128" s="48" t="inlineStr">
        <is>
          <t>Hayır</t>
        </is>
      </c>
      <c r="O128" s="48" t="inlineStr">
        <is>
          <t>Evet</t>
        </is>
      </c>
      <c r="R128" s="48" t="inlineStr">
        <is>
          <t>Oto-test R4</t>
        </is>
      </c>
      <c r="S128" s="48">
        <f>IF(OR(K128="Evet",N128="Evet",H128="FAIL"),"🚩","")</f>
        <v/>
      </c>
    </row>
    <row r="129">
      <c r="A129" s="48">
        <f>IF(B129="","",ROW()-4)</f>
        <v/>
      </c>
      <c r="B129" s="48" t="inlineStr">
        <is>
          <t>2026-05-06 14:12</t>
        </is>
      </c>
      <c r="C129" s="48" t="inlineStr">
        <is>
          <t>AutoTester_v2</t>
        </is>
      </c>
      <c r="D129" s="48" t="inlineStr">
        <is>
          <t>S13</t>
        </is>
      </c>
      <c r="E129" s="48" t="n"/>
      <c r="F129" s="48" t="n"/>
      <c r="G129" s="48" t="n"/>
      <c r="H129" s="48" t="inlineStr">
        <is>
          <t>PASS</t>
        </is>
      </c>
      <c r="I129" s="48" t="n">
        <v>8</v>
      </c>
      <c r="J129" s="48" t="inlineStr">
        <is>
          <t>Hayır</t>
        </is>
      </c>
      <c r="K129" s="48" t="inlineStr">
        <is>
          <t>Hayır</t>
        </is>
      </c>
      <c r="L129" s="48" t="inlineStr">
        <is>
          <t>Yok</t>
        </is>
      </c>
      <c r="M129" s="48" t="inlineStr"/>
      <c r="N129" s="48" t="inlineStr">
        <is>
          <t>Hayır</t>
        </is>
      </c>
      <c r="O129" s="48" t="inlineStr">
        <is>
          <t>Evet</t>
        </is>
      </c>
      <c r="R129" s="48" t="inlineStr">
        <is>
          <t>Oto-test R5</t>
        </is>
      </c>
      <c r="S129" s="48">
        <f>IF(OR(K129="Evet",N129="Evet",H129="FAIL"),"🚩","")</f>
        <v/>
      </c>
    </row>
    <row r="130">
      <c r="A130" s="48">
        <f>IF(B130="","",ROW()-4)</f>
        <v/>
      </c>
      <c r="B130" s="48" t="inlineStr">
        <is>
          <t>2026-05-06 14:12</t>
        </is>
      </c>
      <c r="C130" s="48" t="inlineStr">
        <is>
          <t>AutoTester_v2</t>
        </is>
      </c>
      <c r="D130" s="48" t="inlineStr">
        <is>
          <t>S13</t>
        </is>
      </c>
      <c r="E130" s="48" t="n"/>
      <c r="F130" s="48" t="n"/>
      <c r="G130" s="48" t="n"/>
      <c r="H130" s="48" t="inlineStr">
        <is>
          <t>PASS</t>
        </is>
      </c>
      <c r="I130" s="48" t="n">
        <v>8</v>
      </c>
      <c r="J130" s="48" t="inlineStr">
        <is>
          <t>Hayır</t>
        </is>
      </c>
      <c r="K130" s="48" t="inlineStr">
        <is>
          <t>Hayır</t>
        </is>
      </c>
      <c r="L130" s="48" t="inlineStr">
        <is>
          <t>Yok</t>
        </is>
      </c>
      <c r="M130" s="48" t="inlineStr"/>
      <c r="N130" s="48" t="inlineStr">
        <is>
          <t>Hayır</t>
        </is>
      </c>
      <c r="O130" s="48" t="inlineStr">
        <is>
          <t>Evet</t>
        </is>
      </c>
      <c r="R130" s="48" t="inlineStr">
        <is>
          <t>Oto-test R6</t>
        </is>
      </c>
      <c r="S130" s="48">
        <f>IF(OR(K130="Evet",N130="Evet",H130="FAIL"),"🚩","")</f>
        <v/>
      </c>
    </row>
    <row r="131">
      <c r="A131" s="48">
        <f>IF(B131="","",ROW()-4)</f>
        <v/>
      </c>
      <c r="B131" s="48" t="inlineStr">
        <is>
          <t>2026-05-06 14:12</t>
        </is>
      </c>
      <c r="C131" s="48" t="inlineStr">
        <is>
          <t>AutoTester_v2</t>
        </is>
      </c>
      <c r="D131" s="48" t="inlineStr">
        <is>
          <t>S13</t>
        </is>
      </c>
      <c r="E131" s="48" t="n"/>
      <c r="F131" s="48" t="n"/>
      <c r="G131" s="48" t="n"/>
      <c r="H131" s="48" t="inlineStr">
        <is>
          <t>PASS</t>
        </is>
      </c>
      <c r="I131" s="48" t="n">
        <v>8</v>
      </c>
      <c r="J131" s="48" t="inlineStr">
        <is>
          <t>Hayır</t>
        </is>
      </c>
      <c r="K131" s="48" t="inlineStr">
        <is>
          <t>Hayır</t>
        </is>
      </c>
      <c r="L131" s="48" t="inlineStr">
        <is>
          <t>Yok</t>
        </is>
      </c>
      <c r="M131" s="48" t="inlineStr"/>
      <c r="N131" s="48" t="inlineStr">
        <is>
          <t>Hayır</t>
        </is>
      </c>
      <c r="O131" s="48" t="inlineStr">
        <is>
          <t>Evet</t>
        </is>
      </c>
      <c r="R131" s="48" t="inlineStr">
        <is>
          <t>Oto-test R7</t>
        </is>
      </c>
      <c r="S131" s="48">
        <f>IF(OR(K131="Evet",N131="Evet",H131="FAIL"),"🚩","")</f>
        <v/>
      </c>
    </row>
    <row r="132">
      <c r="A132" s="48">
        <f>IF(B132="","",ROW()-4)</f>
        <v/>
      </c>
      <c r="B132" s="48" t="inlineStr">
        <is>
          <t>2026-05-06 14:13</t>
        </is>
      </c>
      <c r="C132" s="48" t="inlineStr">
        <is>
          <t>AutoTester_v2</t>
        </is>
      </c>
      <c r="D132" s="48" t="inlineStr">
        <is>
          <t>S13</t>
        </is>
      </c>
      <c r="E132" s="48" t="n"/>
      <c r="F132" s="48" t="n"/>
      <c r="G132" s="48" t="n"/>
      <c r="H132" s="48" t="inlineStr">
        <is>
          <t>PASS</t>
        </is>
      </c>
      <c r="I132" s="48" t="n">
        <v>8</v>
      </c>
      <c r="J132" s="48" t="inlineStr">
        <is>
          <t>Hayır</t>
        </is>
      </c>
      <c r="K132" s="48" t="inlineStr">
        <is>
          <t>Hayır</t>
        </is>
      </c>
      <c r="L132" s="48" t="inlineStr">
        <is>
          <t>Yok</t>
        </is>
      </c>
      <c r="M132" s="48" t="inlineStr"/>
      <c r="N132" s="48" t="inlineStr">
        <is>
          <t>Hayır</t>
        </is>
      </c>
      <c r="O132" s="48" t="inlineStr">
        <is>
          <t>Evet</t>
        </is>
      </c>
      <c r="R132" s="48" t="inlineStr">
        <is>
          <t>Oto-test R8</t>
        </is>
      </c>
      <c r="S132" s="48">
        <f>IF(OR(K132="Evet",N132="Evet",H132="FAIL"),"🚩","")</f>
        <v/>
      </c>
    </row>
    <row r="133">
      <c r="A133" s="48">
        <f>IF(B133="","",ROW()-4)</f>
        <v/>
      </c>
      <c r="B133" s="48" t="inlineStr">
        <is>
          <t>2026-05-06 14:13</t>
        </is>
      </c>
      <c r="C133" s="48" t="inlineStr">
        <is>
          <t>AutoTester_v2</t>
        </is>
      </c>
      <c r="D133" s="48" t="inlineStr">
        <is>
          <t>S13</t>
        </is>
      </c>
      <c r="E133" s="48" t="n"/>
      <c r="F133" s="48" t="n"/>
      <c r="G133" s="48" t="n"/>
      <c r="H133" s="48" t="inlineStr">
        <is>
          <t>PASS</t>
        </is>
      </c>
      <c r="I133" s="48" t="n">
        <v>8</v>
      </c>
      <c r="J133" s="48" t="inlineStr">
        <is>
          <t>Hayır</t>
        </is>
      </c>
      <c r="K133" s="48" t="inlineStr">
        <is>
          <t>Hayır</t>
        </is>
      </c>
      <c r="L133" s="48" t="inlineStr">
        <is>
          <t>Yok</t>
        </is>
      </c>
      <c r="M133" s="48" t="inlineStr"/>
      <c r="N133" s="48" t="inlineStr">
        <is>
          <t>Hayır</t>
        </is>
      </c>
      <c r="O133" s="48" t="inlineStr">
        <is>
          <t>Evet</t>
        </is>
      </c>
      <c r="R133" s="48" t="inlineStr">
        <is>
          <t>Oto-test R9</t>
        </is>
      </c>
      <c r="S133" s="48">
        <f>IF(OR(K133="Evet",N133="Evet",H133="FAIL"),"🚩","")</f>
        <v/>
      </c>
    </row>
    <row r="134">
      <c r="A134" s="48">
        <f>IF(B134="","",ROW()-4)</f>
        <v/>
      </c>
      <c r="B134" s="48" t="inlineStr">
        <is>
          <t>2026-05-06 14:13</t>
        </is>
      </c>
      <c r="C134" s="48" t="inlineStr">
        <is>
          <t>AutoTester_v2</t>
        </is>
      </c>
      <c r="D134" s="48" t="inlineStr">
        <is>
          <t>S13</t>
        </is>
      </c>
      <c r="E134" s="48" t="n"/>
      <c r="F134" s="48" t="n"/>
      <c r="G134" s="48" t="n"/>
      <c r="H134" s="48" t="inlineStr">
        <is>
          <t>PASS</t>
        </is>
      </c>
      <c r="I134" s="48" t="n">
        <v>8</v>
      </c>
      <c r="J134" s="48" t="inlineStr">
        <is>
          <t>Hayır</t>
        </is>
      </c>
      <c r="K134" s="48" t="inlineStr">
        <is>
          <t>Hayır</t>
        </is>
      </c>
      <c r="L134" s="48" t="inlineStr">
        <is>
          <t>Yok</t>
        </is>
      </c>
      <c r="M134" s="48" t="inlineStr"/>
      <c r="N134" s="48" t="inlineStr">
        <is>
          <t>Hayır</t>
        </is>
      </c>
      <c r="O134" s="48" t="inlineStr">
        <is>
          <t>Evet</t>
        </is>
      </c>
      <c r="R134" s="48" t="inlineStr">
        <is>
          <t>Oto-test R10</t>
        </is>
      </c>
      <c r="S134" s="48">
        <f>IF(OR(K134="Evet",N134="Evet",H134="FAIL"),"🚩","")</f>
        <v/>
      </c>
    </row>
    <row r="135">
      <c r="A135" s="48">
        <f>IF(B135="","",ROW()-4)</f>
        <v/>
      </c>
      <c r="B135" s="48" t="inlineStr">
        <is>
          <t>2026-05-06 14:13</t>
        </is>
      </c>
      <c r="C135" s="48" t="inlineStr">
        <is>
          <t>AutoTester_v2</t>
        </is>
      </c>
      <c r="D135" s="48" t="inlineStr">
        <is>
          <t>S14</t>
        </is>
      </c>
      <c r="E135" s="48" t="n"/>
      <c r="F135" s="48" t="n"/>
      <c r="G135" s="48" t="n"/>
      <c r="H135" s="48" t="inlineStr">
        <is>
          <t>PASS</t>
        </is>
      </c>
      <c r="I135" s="48" t="n">
        <v>8</v>
      </c>
      <c r="J135" s="48" t="inlineStr">
        <is>
          <t>Hayır</t>
        </is>
      </c>
      <c r="K135" s="48" t="inlineStr">
        <is>
          <t>Hayır</t>
        </is>
      </c>
      <c r="L135" s="48" t="inlineStr">
        <is>
          <t>Yok</t>
        </is>
      </c>
      <c r="M135" s="48" t="inlineStr"/>
      <c r="N135" s="48" t="inlineStr">
        <is>
          <t>Hayır</t>
        </is>
      </c>
      <c r="O135" s="48" t="inlineStr">
        <is>
          <t>Evet</t>
        </is>
      </c>
      <c r="R135" s="48" t="inlineStr">
        <is>
          <t>Oto-test R1</t>
        </is>
      </c>
      <c r="S135" s="48">
        <f>IF(OR(K135="Evet",N135="Evet",H135="FAIL"),"🚩","")</f>
        <v/>
      </c>
    </row>
    <row r="136">
      <c r="A136" s="48">
        <f>IF(B136="","",ROW()-4)</f>
        <v/>
      </c>
      <c r="B136" s="48" t="inlineStr">
        <is>
          <t>2026-05-06 14:13</t>
        </is>
      </c>
      <c r="C136" s="48" t="inlineStr">
        <is>
          <t>AutoTester_v2</t>
        </is>
      </c>
      <c r="D136" s="48" t="inlineStr">
        <is>
          <t>S14</t>
        </is>
      </c>
      <c r="E136" s="48" t="n"/>
      <c r="F136" s="48" t="n"/>
      <c r="G136" s="48" t="n"/>
      <c r="H136" s="48" t="inlineStr">
        <is>
          <t>PASS</t>
        </is>
      </c>
      <c r="I136" s="48" t="n">
        <v>8</v>
      </c>
      <c r="J136" s="48" t="inlineStr">
        <is>
          <t>Hayır</t>
        </is>
      </c>
      <c r="K136" s="48" t="inlineStr">
        <is>
          <t>Hayır</t>
        </is>
      </c>
      <c r="L136" s="48" t="inlineStr">
        <is>
          <t>Yok</t>
        </is>
      </c>
      <c r="M136" s="48" t="inlineStr"/>
      <c r="N136" s="48" t="inlineStr">
        <is>
          <t>Hayır</t>
        </is>
      </c>
      <c r="O136" s="48" t="inlineStr">
        <is>
          <t>Evet</t>
        </is>
      </c>
      <c r="R136" s="48" t="inlineStr">
        <is>
          <t>Oto-test R2</t>
        </is>
      </c>
      <c r="S136" s="48">
        <f>IF(OR(K136="Evet",N136="Evet",H136="FAIL"),"🚩","")</f>
        <v/>
      </c>
    </row>
    <row r="137">
      <c r="A137" s="48">
        <f>IF(B137="","",ROW()-4)</f>
        <v/>
      </c>
      <c r="B137" s="48" t="inlineStr">
        <is>
          <t>2026-05-06 14:13</t>
        </is>
      </c>
      <c r="C137" s="48" t="inlineStr">
        <is>
          <t>AutoTester_v2</t>
        </is>
      </c>
      <c r="D137" s="48" t="inlineStr">
        <is>
          <t>S14</t>
        </is>
      </c>
      <c r="E137" s="48" t="n"/>
      <c r="F137" s="48" t="n"/>
      <c r="G137" s="48" t="n"/>
      <c r="H137" s="48" t="inlineStr">
        <is>
          <t>PASS</t>
        </is>
      </c>
      <c r="I137" s="48" t="n">
        <v>8</v>
      </c>
      <c r="J137" s="48" t="inlineStr">
        <is>
          <t>Hayır</t>
        </is>
      </c>
      <c r="K137" s="48" t="inlineStr">
        <is>
          <t>Hayır</t>
        </is>
      </c>
      <c r="L137" s="48" t="inlineStr">
        <is>
          <t>Yok</t>
        </is>
      </c>
      <c r="M137" s="48" t="inlineStr"/>
      <c r="N137" s="48" t="inlineStr">
        <is>
          <t>Hayır</t>
        </is>
      </c>
      <c r="O137" s="48" t="inlineStr">
        <is>
          <t>Evet</t>
        </is>
      </c>
      <c r="R137" s="48" t="inlineStr">
        <is>
          <t>Oto-test R3</t>
        </is>
      </c>
      <c r="S137" s="48">
        <f>IF(OR(K137="Evet",N137="Evet",H137="FAIL"),"🚩","")</f>
        <v/>
      </c>
    </row>
    <row r="138">
      <c r="A138" s="48">
        <f>IF(B138="","",ROW()-4)</f>
        <v/>
      </c>
      <c r="B138" s="48" t="inlineStr">
        <is>
          <t>2026-05-06 14:14</t>
        </is>
      </c>
      <c r="C138" s="48" t="inlineStr">
        <is>
          <t>AutoTester_v2</t>
        </is>
      </c>
      <c r="D138" s="48" t="inlineStr">
        <is>
          <t>S14</t>
        </is>
      </c>
      <c r="E138" s="48" t="n"/>
      <c r="F138" s="48" t="n"/>
      <c r="G138" s="48" t="n"/>
      <c r="H138" s="48" t="inlineStr">
        <is>
          <t>PASS</t>
        </is>
      </c>
      <c r="I138" s="48" t="n">
        <v>8</v>
      </c>
      <c r="J138" s="48" t="inlineStr">
        <is>
          <t>Hayır</t>
        </is>
      </c>
      <c r="K138" s="48" t="inlineStr">
        <is>
          <t>Hayır</t>
        </is>
      </c>
      <c r="L138" s="48" t="inlineStr">
        <is>
          <t>Yok</t>
        </is>
      </c>
      <c r="M138" s="48" t="inlineStr"/>
      <c r="N138" s="48" t="inlineStr">
        <is>
          <t>Hayır</t>
        </is>
      </c>
      <c r="O138" s="48" t="inlineStr">
        <is>
          <t>Evet</t>
        </is>
      </c>
      <c r="R138" s="48" t="inlineStr">
        <is>
          <t>Oto-test R4</t>
        </is>
      </c>
      <c r="S138" s="48">
        <f>IF(OR(K138="Evet",N138="Evet",H138="FAIL"),"🚩","")</f>
        <v/>
      </c>
    </row>
    <row r="139">
      <c r="A139" s="48">
        <f>IF(B139="","",ROW()-4)</f>
        <v/>
      </c>
      <c r="B139" s="48" t="inlineStr">
        <is>
          <t>2026-05-06 14:14</t>
        </is>
      </c>
      <c r="C139" s="48" t="inlineStr">
        <is>
          <t>AutoTester_v2</t>
        </is>
      </c>
      <c r="D139" s="48" t="inlineStr">
        <is>
          <t>S14</t>
        </is>
      </c>
      <c r="E139" s="48" t="n"/>
      <c r="F139" s="48" t="n"/>
      <c r="G139" s="48" t="n"/>
      <c r="H139" s="48" t="inlineStr">
        <is>
          <t>PASS</t>
        </is>
      </c>
      <c r="I139" s="48" t="n">
        <v>8</v>
      </c>
      <c r="J139" s="48" t="inlineStr">
        <is>
          <t>Hayır</t>
        </is>
      </c>
      <c r="K139" s="48" t="inlineStr">
        <is>
          <t>Hayır</t>
        </is>
      </c>
      <c r="L139" s="48" t="inlineStr">
        <is>
          <t>Yok</t>
        </is>
      </c>
      <c r="M139" s="48" t="inlineStr"/>
      <c r="N139" s="48" t="inlineStr">
        <is>
          <t>Hayır</t>
        </is>
      </c>
      <c r="O139" s="48" t="inlineStr">
        <is>
          <t>Evet</t>
        </is>
      </c>
      <c r="R139" s="48" t="inlineStr">
        <is>
          <t>Oto-test R5</t>
        </is>
      </c>
      <c r="S139" s="48">
        <f>IF(OR(K139="Evet",N139="Evet",H139="FAIL"),"🚩","")</f>
        <v/>
      </c>
    </row>
    <row r="140">
      <c r="A140" s="48">
        <f>IF(B140="","",ROW()-4)</f>
        <v/>
      </c>
      <c r="B140" s="48" t="inlineStr">
        <is>
          <t>2026-05-06 14:14</t>
        </is>
      </c>
      <c r="C140" s="48" t="inlineStr">
        <is>
          <t>AutoTester_v2</t>
        </is>
      </c>
      <c r="D140" s="48" t="inlineStr">
        <is>
          <t>S14</t>
        </is>
      </c>
      <c r="E140" s="48" t="n"/>
      <c r="F140" s="48" t="n"/>
      <c r="G140" s="48" t="n"/>
      <c r="H140" s="48" t="inlineStr">
        <is>
          <t>PASS</t>
        </is>
      </c>
      <c r="I140" s="48" t="n">
        <v>8</v>
      </c>
      <c r="J140" s="48" t="inlineStr">
        <is>
          <t>Hayır</t>
        </is>
      </c>
      <c r="K140" s="48" t="inlineStr">
        <is>
          <t>Hayır</t>
        </is>
      </c>
      <c r="L140" s="48" t="inlineStr">
        <is>
          <t>Yok</t>
        </is>
      </c>
      <c r="M140" s="48" t="inlineStr"/>
      <c r="N140" s="48" t="inlineStr">
        <is>
          <t>Hayır</t>
        </is>
      </c>
      <c r="O140" s="48" t="inlineStr">
        <is>
          <t>Evet</t>
        </is>
      </c>
      <c r="R140" s="48" t="inlineStr">
        <is>
          <t>Oto-test R6</t>
        </is>
      </c>
      <c r="S140" s="48">
        <f>IF(OR(K140="Evet",N140="Evet",H140="FAIL"),"🚩","")</f>
        <v/>
      </c>
    </row>
    <row r="141">
      <c r="A141" s="48">
        <f>IF(B141="","",ROW()-4)</f>
        <v/>
      </c>
      <c r="B141" s="48" t="inlineStr">
        <is>
          <t>2026-05-06 14:14</t>
        </is>
      </c>
      <c r="C141" s="48" t="inlineStr">
        <is>
          <t>AutoTester_v2</t>
        </is>
      </c>
      <c r="D141" s="48" t="inlineStr">
        <is>
          <t>S14</t>
        </is>
      </c>
      <c r="E141" s="48" t="n"/>
      <c r="F141" s="48" t="n"/>
      <c r="G141" s="48" t="n"/>
      <c r="H141" s="48" t="inlineStr">
        <is>
          <t>PASS</t>
        </is>
      </c>
      <c r="I141" s="48" t="n">
        <v>8</v>
      </c>
      <c r="J141" s="48" t="inlineStr">
        <is>
          <t>Hayır</t>
        </is>
      </c>
      <c r="K141" s="48" t="inlineStr">
        <is>
          <t>Hayır</t>
        </is>
      </c>
      <c r="L141" s="48" t="inlineStr">
        <is>
          <t>Yok</t>
        </is>
      </c>
      <c r="M141" s="48" t="inlineStr"/>
      <c r="N141" s="48" t="inlineStr">
        <is>
          <t>Hayır</t>
        </is>
      </c>
      <c r="O141" s="48" t="inlineStr">
        <is>
          <t>Evet</t>
        </is>
      </c>
      <c r="R141" s="48" t="inlineStr">
        <is>
          <t>Oto-test R7</t>
        </is>
      </c>
      <c r="S141" s="48">
        <f>IF(OR(K141="Evet",N141="Evet",H141="FAIL"),"🚩","")</f>
        <v/>
      </c>
    </row>
    <row r="142">
      <c r="A142" s="48">
        <f>IF(B142="","",ROW()-4)</f>
        <v/>
      </c>
      <c r="B142" s="48" t="inlineStr">
        <is>
          <t>2026-05-06 14:14</t>
        </is>
      </c>
      <c r="C142" s="48" t="inlineStr">
        <is>
          <t>AutoTester_v2</t>
        </is>
      </c>
      <c r="D142" s="48" t="inlineStr">
        <is>
          <t>S14</t>
        </is>
      </c>
      <c r="E142" s="48" t="n"/>
      <c r="F142" s="48" t="n"/>
      <c r="G142" s="48" t="n"/>
      <c r="H142" s="48" t="inlineStr">
        <is>
          <t>PASS</t>
        </is>
      </c>
      <c r="I142" s="48" t="n">
        <v>8</v>
      </c>
      <c r="J142" s="48" t="inlineStr">
        <is>
          <t>Hayır</t>
        </is>
      </c>
      <c r="K142" s="48" t="inlineStr">
        <is>
          <t>Hayır</t>
        </is>
      </c>
      <c r="L142" s="48" t="inlineStr">
        <is>
          <t>Yok</t>
        </is>
      </c>
      <c r="M142" s="48" t="inlineStr"/>
      <c r="N142" s="48" t="inlineStr">
        <is>
          <t>Hayır</t>
        </is>
      </c>
      <c r="O142" s="48" t="inlineStr">
        <is>
          <t>Evet</t>
        </is>
      </c>
      <c r="R142" s="48" t="inlineStr">
        <is>
          <t>Oto-test R8</t>
        </is>
      </c>
      <c r="S142" s="48">
        <f>IF(OR(K142="Evet",N142="Evet",H142="FAIL"),"🚩","")</f>
        <v/>
      </c>
    </row>
    <row r="143">
      <c r="A143" s="48">
        <f>IF(B143="","",ROW()-4)</f>
        <v/>
      </c>
      <c r="B143" s="48" t="inlineStr">
        <is>
          <t>2026-05-06 14:15</t>
        </is>
      </c>
      <c r="C143" s="48" t="inlineStr">
        <is>
          <t>AutoTester_v2</t>
        </is>
      </c>
      <c r="D143" s="48" t="inlineStr">
        <is>
          <t>S14</t>
        </is>
      </c>
      <c r="E143" s="48" t="n"/>
      <c r="F143" s="48" t="n"/>
      <c r="G143" s="48" t="n"/>
      <c r="H143" s="48" t="inlineStr">
        <is>
          <t>PASS</t>
        </is>
      </c>
      <c r="I143" s="48" t="n">
        <v>8</v>
      </c>
      <c r="J143" s="48" t="inlineStr">
        <is>
          <t>Hayır</t>
        </is>
      </c>
      <c r="K143" s="48" t="inlineStr">
        <is>
          <t>Hayır</t>
        </is>
      </c>
      <c r="L143" s="48" t="inlineStr">
        <is>
          <t>Yok</t>
        </is>
      </c>
      <c r="M143" s="48" t="inlineStr"/>
      <c r="N143" s="48" t="inlineStr">
        <is>
          <t>Hayır</t>
        </is>
      </c>
      <c r="O143" s="48" t="inlineStr">
        <is>
          <t>Evet</t>
        </is>
      </c>
      <c r="R143" s="48" t="inlineStr">
        <is>
          <t>Oto-test R9</t>
        </is>
      </c>
      <c r="S143" s="48">
        <f>IF(OR(K143="Evet",N143="Evet",H143="FAIL"),"🚩","")</f>
        <v/>
      </c>
    </row>
    <row r="144">
      <c r="A144" s="48">
        <f>IF(B144="","",ROW()-4)</f>
        <v/>
      </c>
      <c r="B144" s="48" t="inlineStr">
        <is>
          <t>2026-05-06 14:15</t>
        </is>
      </c>
      <c r="C144" s="48" t="inlineStr">
        <is>
          <t>AutoTester_v2</t>
        </is>
      </c>
      <c r="D144" s="48" t="inlineStr">
        <is>
          <t>S14</t>
        </is>
      </c>
      <c r="E144" s="48" t="n"/>
      <c r="F144" s="48" t="n"/>
      <c r="G144" s="48" t="n"/>
      <c r="H144" s="48" t="inlineStr">
        <is>
          <t>PASS</t>
        </is>
      </c>
      <c r="I144" s="48" t="n">
        <v>8</v>
      </c>
      <c r="J144" s="48" t="inlineStr">
        <is>
          <t>Hayır</t>
        </is>
      </c>
      <c r="K144" s="48" t="inlineStr">
        <is>
          <t>Hayır</t>
        </is>
      </c>
      <c r="L144" s="48" t="inlineStr">
        <is>
          <t>Yok</t>
        </is>
      </c>
      <c r="M144" s="48" t="inlineStr"/>
      <c r="N144" s="48" t="inlineStr">
        <is>
          <t>Hayır</t>
        </is>
      </c>
      <c r="O144" s="48" t="inlineStr">
        <is>
          <t>Evet</t>
        </is>
      </c>
      <c r="R144" s="48" t="inlineStr">
        <is>
          <t>Oto-test R10</t>
        </is>
      </c>
      <c r="S144" s="48">
        <f>IF(OR(K144="Evet",N144="Evet",H144="FAIL"),"🚩","")</f>
        <v/>
      </c>
    </row>
    <row r="145">
      <c r="A145" s="48">
        <f>IF(B145="","",ROW()-4)</f>
        <v/>
      </c>
      <c r="B145" s="48" t="inlineStr">
        <is>
          <t>2026-05-06 14:15</t>
        </is>
      </c>
      <c r="C145" s="48" t="inlineStr">
        <is>
          <t>AutoTester_v2</t>
        </is>
      </c>
      <c r="D145" s="48" t="inlineStr">
        <is>
          <t>S15</t>
        </is>
      </c>
      <c r="E145" s="48" t="n"/>
      <c r="F145" s="48" t="n"/>
      <c r="G145" s="48" t="n"/>
      <c r="H145" s="48" t="inlineStr">
        <is>
          <t>FAIL</t>
        </is>
      </c>
      <c r="I145" s="48" t="n">
        <v>8</v>
      </c>
      <c r="J145" s="48" t="inlineStr">
        <is>
          <t>Hayır</t>
        </is>
      </c>
      <c r="K145" s="48" t="inlineStr">
        <is>
          <t>Evet</t>
        </is>
      </c>
      <c r="L145" s="48" t="inlineStr">
        <is>
          <t>Uydurma Parça</t>
        </is>
      </c>
      <c r="M145" s="48" t="inlineStr">
        <is>
          <t>Beklenen sonuçla çelişiyor (ipucu: test_on_gasolin</t>
        </is>
      </c>
      <c r="N145" s="48" t="inlineStr">
        <is>
          <t>Hayır</t>
        </is>
      </c>
      <c r="O145" s="48" t="inlineStr">
        <is>
          <t>Evet</t>
        </is>
      </c>
      <c r="R145" s="48" t="inlineStr">
        <is>
          <t>Oto-test R1</t>
        </is>
      </c>
      <c r="S145" s="48">
        <f>IF(OR(K145="Evet",N145="Evet",H145="FAIL"),"🚩","")</f>
        <v/>
      </c>
    </row>
    <row r="146">
      <c r="A146" s="48">
        <f>IF(B146="","",ROW()-4)</f>
        <v/>
      </c>
      <c r="B146" s="48" t="inlineStr">
        <is>
          <t>2026-05-06 14:15</t>
        </is>
      </c>
      <c r="C146" s="48" t="inlineStr">
        <is>
          <t>AutoTester_v2</t>
        </is>
      </c>
      <c r="D146" s="48" t="inlineStr">
        <is>
          <t>S15</t>
        </is>
      </c>
      <c r="E146" s="48" t="n"/>
      <c r="F146" s="48" t="n"/>
      <c r="G146" s="48" t="n"/>
      <c r="H146" s="48" t="inlineStr">
        <is>
          <t>FAIL</t>
        </is>
      </c>
      <c r="I146" s="48" t="n">
        <v>8</v>
      </c>
      <c r="J146" s="48" t="inlineStr">
        <is>
          <t>Hayır</t>
        </is>
      </c>
      <c r="K146" s="48" t="inlineStr">
        <is>
          <t>Evet</t>
        </is>
      </c>
      <c r="L146" s="48" t="inlineStr">
        <is>
          <t>Uydurma Parça</t>
        </is>
      </c>
      <c r="M146" s="48" t="inlineStr">
        <is>
          <t>Beklenen sonuçla çelişiyor (ipucu: test_on_gasolin</t>
        </is>
      </c>
      <c r="N146" s="48" t="inlineStr">
        <is>
          <t>Hayır</t>
        </is>
      </c>
      <c r="O146" s="48" t="inlineStr">
        <is>
          <t>Evet</t>
        </is>
      </c>
      <c r="R146" s="48" t="inlineStr">
        <is>
          <t>Oto-test R2</t>
        </is>
      </c>
      <c r="S146" s="48">
        <f>IF(OR(K146="Evet",N146="Evet",H146="FAIL"),"🚩","")</f>
        <v/>
      </c>
    </row>
    <row r="147">
      <c r="A147" s="48">
        <f>IF(B147="","",ROW()-4)</f>
        <v/>
      </c>
      <c r="B147" s="48" t="inlineStr">
        <is>
          <t>2026-05-06 14:15</t>
        </is>
      </c>
      <c r="C147" s="48" t="inlineStr">
        <is>
          <t>AutoTester_v2</t>
        </is>
      </c>
      <c r="D147" s="48" t="inlineStr">
        <is>
          <t>S15</t>
        </is>
      </c>
      <c r="E147" s="48" t="n"/>
      <c r="F147" s="48" t="n"/>
      <c r="G147" s="48" t="n"/>
      <c r="H147" s="48" t="inlineStr">
        <is>
          <t>FAIL</t>
        </is>
      </c>
      <c r="I147" s="48" t="n">
        <v>8</v>
      </c>
      <c r="J147" s="48" t="inlineStr">
        <is>
          <t>Hayır</t>
        </is>
      </c>
      <c r="K147" s="48" t="inlineStr">
        <is>
          <t>Evet</t>
        </is>
      </c>
      <c r="L147" s="48" t="inlineStr">
        <is>
          <t>Uydurma Parça</t>
        </is>
      </c>
      <c r="M147" s="48" t="inlineStr">
        <is>
          <t>Beklenen sonuçla çelişiyor (ipucu: test_on_gasolin</t>
        </is>
      </c>
      <c r="N147" s="48" t="inlineStr">
        <is>
          <t>Hayır</t>
        </is>
      </c>
      <c r="O147" s="48" t="inlineStr">
        <is>
          <t>Evet</t>
        </is>
      </c>
      <c r="R147" s="48" t="inlineStr">
        <is>
          <t>Oto-test R3</t>
        </is>
      </c>
      <c r="S147" s="48">
        <f>IF(OR(K147="Evet",N147="Evet",H147="FAIL"),"🚩","")</f>
        <v/>
      </c>
    </row>
    <row r="148">
      <c r="A148" s="48">
        <f>IF(B148="","",ROW()-4)</f>
        <v/>
      </c>
      <c r="B148" s="48" t="inlineStr">
        <is>
          <t>2026-05-06 14:15</t>
        </is>
      </c>
      <c r="C148" s="48" t="inlineStr">
        <is>
          <t>AutoTester_v2</t>
        </is>
      </c>
      <c r="D148" s="48" t="inlineStr">
        <is>
          <t>S15</t>
        </is>
      </c>
      <c r="E148" s="48" t="n"/>
      <c r="F148" s="48" t="n"/>
      <c r="G148" s="48" t="n"/>
      <c r="H148" s="48" t="inlineStr">
        <is>
          <t>FAIL</t>
        </is>
      </c>
      <c r="I148" s="48" t="n">
        <v>8</v>
      </c>
      <c r="J148" s="48" t="inlineStr">
        <is>
          <t>Hayır</t>
        </is>
      </c>
      <c r="K148" s="48" t="inlineStr">
        <is>
          <t>Evet</t>
        </is>
      </c>
      <c r="L148" s="48" t="inlineStr">
        <is>
          <t>Uydurma Parça</t>
        </is>
      </c>
      <c r="M148" s="48" t="inlineStr">
        <is>
          <t>Beklenen sonuçla çelişiyor (ipucu: test_on_gasolin</t>
        </is>
      </c>
      <c r="N148" s="48" t="inlineStr">
        <is>
          <t>Hayır</t>
        </is>
      </c>
      <c r="O148" s="48" t="inlineStr">
        <is>
          <t>Evet</t>
        </is>
      </c>
      <c r="R148" s="48" t="inlineStr">
        <is>
          <t>Oto-test R4</t>
        </is>
      </c>
      <c r="S148" s="48">
        <f>IF(OR(K148="Evet",N148="Evet",H148="FAIL"),"🚩","")</f>
        <v/>
      </c>
    </row>
    <row r="149">
      <c r="A149" s="48">
        <f>IF(B149="","",ROW()-4)</f>
        <v/>
      </c>
      <c r="B149" s="48" t="inlineStr">
        <is>
          <t>2026-05-06 14:16</t>
        </is>
      </c>
      <c r="C149" s="48" t="inlineStr">
        <is>
          <t>AutoTester_v2</t>
        </is>
      </c>
      <c r="D149" s="48" t="inlineStr">
        <is>
          <t>S15</t>
        </is>
      </c>
      <c r="E149" s="48" t="n"/>
      <c r="F149" s="48" t="n"/>
      <c r="G149" s="48" t="n"/>
      <c r="H149" s="48" t="inlineStr">
        <is>
          <t>FAIL</t>
        </is>
      </c>
      <c r="I149" s="48" t="n">
        <v>8</v>
      </c>
      <c r="J149" s="48" t="inlineStr">
        <is>
          <t>Hayır</t>
        </is>
      </c>
      <c r="K149" s="48" t="inlineStr">
        <is>
          <t>Evet</t>
        </is>
      </c>
      <c r="L149" s="48" t="inlineStr">
        <is>
          <t>Uydurma Parça</t>
        </is>
      </c>
      <c r="M149" s="48" t="inlineStr">
        <is>
          <t>Beklenen sonuçla çelişiyor (ipucu: test_on_gasolin</t>
        </is>
      </c>
      <c r="N149" s="48" t="inlineStr">
        <is>
          <t>Hayır</t>
        </is>
      </c>
      <c r="O149" s="48" t="inlineStr">
        <is>
          <t>Evet</t>
        </is>
      </c>
      <c r="R149" s="48" t="inlineStr">
        <is>
          <t>Oto-test R5</t>
        </is>
      </c>
      <c r="S149" s="48">
        <f>IF(OR(K149="Evet",N149="Evet",H149="FAIL"),"🚩","")</f>
        <v/>
      </c>
    </row>
    <row r="150">
      <c r="A150" s="48">
        <f>IF(B150="","",ROW()-4)</f>
        <v/>
      </c>
      <c r="B150" s="48" t="inlineStr">
        <is>
          <t>2026-05-06 14:16</t>
        </is>
      </c>
      <c r="C150" s="48" t="inlineStr">
        <is>
          <t>AutoTester_v2</t>
        </is>
      </c>
      <c r="D150" s="48" t="inlineStr">
        <is>
          <t>S15</t>
        </is>
      </c>
      <c r="E150" s="48" t="n"/>
      <c r="F150" s="48" t="n"/>
      <c r="G150" s="48" t="n"/>
      <c r="H150" s="48" t="inlineStr">
        <is>
          <t>FAIL</t>
        </is>
      </c>
      <c r="I150" s="48" t="n">
        <v>8</v>
      </c>
      <c r="J150" s="48" t="inlineStr">
        <is>
          <t>Hayır</t>
        </is>
      </c>
      <c r="K150" s="48" t="inlineStr">
        <is>
          <t>Evet</t>
        </is>
      </c>
      <c r="L150" s="48" t="inlineStr">
        <is>
          <t>Uydurma Parça</t>
        </is>
      </c>
      <c r="M150" s="48" t="inlineStr">
        <is>
          <t>Beklenen sonuçla çelişiyor (ipucu: test_on_gasolin</t>
        </is>
      </c>
      <c r="N150" s="48" t="inlineStr">
        <is>
          <t>Hayır</t>
        </is>
      </c>
      <c r="O150" s="48" t="inlineStr">
        <is>
          <t>Evet</t>
        </is>
      </c>
      <c r="R150" s="48" t="inlineStr">
        <is>
          <t>Oto-test R6</t>
        </is>
      </c>
      <c r="S150" s="48">
        <f>IF(OR(K150="Evet",N150="Evet",H150="FAIL"),"🚩","")</f>
        <v/>
      </c>
    </row>
    <row r="151">
      <c r="A151" s="48">
        <f>IF(B151="","",ROW()-4)</f>
        <v/>
      </c>
      <c r="B151" s="48" t="inlineStr">
        <is>
          <t>2026-05-06 14:16</t>
        </is>
      </c>
      <c r="C151" s="48" t="inlineStr">
        <is>
          <t>AutoTester_v2</t>
        </is>
      </c>
      <c r="D151" s="48" t="inlineStr">
        <is>
          <t>S15</t>
        </is>
      </c>
      <c r="E151" s="48" t="n"/>
      <c r="F151" s="48" t="n"/>
      <c r="G151" s="48" t="n"/>
      <c r="H151" s="48" t="inlineStr">
        <is>
          <t>FAIL</t>
        </is>
      </c>
      <c r="I151" s="48" t="n">
        <v>8</v>
      </c>
      <c r="J151" s="48" t="inlineStr">
        <is>
          <t>Hayır</t>
        </is>
      </c>
      <c r="K151" s="48" t="inlineStr">
        <is>
          <t>Evet</t>
        </is>
      </c>
      <c r="L151" s="48" t="inlineStr">
        <is>
          <t>Uydurma Parça</t>
        </is>
      </c>
      <c r="M151" s="48" t="inlineStr">
        <is>
          <t>Beklenen sonuçla çelişiyor (ipucu: test_on_gasolin</t>
        </is>
      </c>
      <c r="N151" s="48" t="inlineStr">
        <is>
          <t>Hayır</t>
        </is>
      </c>
      <c r="O151" s="48" t="inlineStr">
        <is>
          <t>Evet</t>
        </is>
      </c>
      <c r="R151" s="48" t="inlineStr">
        <is>
          <t>Oto-test R7</t>
        </is>
      </c>
      <c r="S151" s="48">
        <f>IF(OR(K151="Evet",N151="Evet",H151="FAIL"),"🚩","")</f>
        <v/>
      </c>
    </row>
    <row r="152">
      <c r="A152" s="48">
        <f>IF(B152="","",ROW()-4)</f>
        <v/>
      </c>
      <c r="B152" s="48" t="inlineStr">
        <is>
          <t>2026-05-06 14:16</t>
        </is>
      </c>
      <c r="C152" s="48" t="inlineStr">
        <is>
          <t>AutoTester_v2</t>
        </is>
      </c>
      <c r="D152" s="48" t="inlineStr">
        <is>
          <t>S15</t>
        </is>
      </c>
      <c r="E152" s="48" t="n"/>
      <c r="F152" s="48" t="n"/>
      <c r="G152" s="48" t="n"/>
      <c r="H152" s="48" t="inlineStr">
        <is>
          <t>FAIL</t>
        </is>
      </c>
      <c r="I152" s="48" t="n">
        <v>8</v>
      </c>
      <c r="J152" s="48" t="inlineStr">
        <is>
          <t>Hayır</t>
        </is>
      </c>
      <c r="K152" s="48" t="inlineStr">
        <is>
          <t>Evet</t>
        </is>
      </c>
      <c r="L152" s="48" t="inlineStr">
        <is>
          <t>Uydurma Parça</t>
        </is>
      </c>
      <c r="M152" s="48" t="inlineStr">
        <is>
          <t>Beklenen sonuçla çelişiyor (ipucu: test_on_gasolin</t>
        </is>
      </c>
      <c r="N152" s="48" t="inlineStr">
        <is>
          <t>Hayır</t>
        </is>
      </c>
      <c r="O152" s="48" t="inlineStr">
        <is>
          <t>Evet</t>
        </is>
      </c>
      <c r="R152" s="48" t="inlineStr">
        <is>
          <t>Oto-test R8</t>
        </is>
      </c>
      <c r="S152" s="48">
        <f>IF(OR(K152="Evet",N152="Evet",H152="FAIL"),"🚩","")</f>
        <v/>
      </c>
    </row>
    <row r="153">
      <c r="A153" s="48">
        <f>IF(B153="","",ROW()-4)</f>
        <v/>
      </c>
      <c r="B153" s="48" t="inlineStr">
        <is>
          <t>2026-05-06 14:16</t>
        </is>
      </c>
      <c r="C153" s="48" t="inlineStr">
        <is>
          <t>AutoTester_v2</t>
        </is>
      </c>
      <c r="D153" s="48" t="inlineStr">
        <is>
          <t>S15</t>
        </is>
      </c>
      <c r="E153" s="48" t="n"/>
      <c r="F153" s="48" t="n"/>
      <c r="G153" s="48" t="n"/>
      <c r="H153" s="48" t="inlineStr">
        <is>
          <t>FAIL</t>
        </is>
      </c>
      <c r="I153" s="48" t="n">
        <v>8</v>
      </c>
      <c r="J153" s="48" t="inlineStr">
        <is>
          <t>Hayır</t>
        </is>
      </c>
      <c r="K153" s="48" t="inlineStr">
        <is>
          <t>Evet</t>
        </is>
      </c>
      <c r="L153" s="48" t="inlineStr">
        <is>
          <t>Uydurma Parça</t>
        </is>
      </c>
      <c r="M153" s="48" t="inlineStr">
        <is>
          <t>Beklenen sonuçla çelişiyor (ipucu: test_on_gasolin</t>
        </is>
      </c>
      <c r="N153" s="48" t="inlineStr">
        <is>
          <t>Hayır</t>
        </is>
      </c>
      <c r="O153" s="48" t="inlineStr">
        <is>
          <t>Evet</t>
        </is>
      </c>
      <c r="R153" s="48" t="inlineStr">
        <is>
          <t>Oto-test R9</t>
        </is>
      </c>
      <c r="S153" s="48">
        <f>IF(OR(K153="Evet",N153="Evet",H153="FAIL"),"🚩","")</f>
        <v/>
      </c>
    </row>
    <row r="154">
      <c r="A154" s="48">
        <f>IF(B154="","",ROW()-4)</f>
        <v/>
      </c>
      <c r="B154" s="48" t="inlineStr">
        <is>
          <t>2026-05-06 14:16</t>
        </is>
      </c>
      <c r="C154" s="48" t="inlineStr">
        <is>
          <t>AutoTester_v2</t>
        </is>
      </c>
      <c r="D154" s="48" t="inlineStr">
        <is>
          <t>S15</t>
        </is>
      </c>
      <c r="E154" s="48" t="n"/>
      <c r="F154" s="48" t="n"/>
      <c r="G154" s="48" t="n"/>
      <c r="H154" s="48" t="inlineStr">
        <is>
          <t>FAIL</t>
        </is>
      </c>
      <c r="I154" s="48" t="n">
        <v>8</v>
      </c>
      <c r="J154" s="48" t="inlineStr">
        <is>
          <t>Hayır</t>
        </is>
      </c>
      <c r="K154" s="48" t="inlineStr">
        <is>
          <t>Evet</t>
        </is>
      </c>
      <c r="L154" s="48" t="inlineStr">
        <is>
          <t>Uydurma Parça</t>
        </is>
      </c>
      <c r="M154" s="48" t="inlineStr">
        <is>
          <t>Beklenen sonuçla çelişiyor (ipucu: test_on_gasolin</t>
        </is>
      </c>
      <c r="N154" s="48" t="inlineStr">
        <is>
          <t>Hayır</t>
        </is>
      </c>
      <c r="O154" s="48" t="inlineStr">
        <is>
          <t>Evet</t>
        </is>
      </c>
      <c r="R154" s="48" t="inlineStr">
        <is>
          <t>Oto-test R10</t>
        </is>
      </c>
      <c r="S154" s="48">
        <f>IF(OR(K154="Evet",N154="Evet",H154="FAIL"),"🚩","")</f>
        <v/>
      </c>
    </row>
    <row r="155">
      <c r="A155" s="48">
        <f>IF(B155="","",ROW()-4)</f>
        <v/>
      </c>
      <c r="B155" s="48" t="n"/>
      <c r="C155" s="48" t="n"/>
      <c r="D155" s="48" t="n"/>
      <c r="E155" s="48" t="n"/>
      <c r="F155" s="48" t="n"/>
      <c r="G155" s="48" t="n"/>
      <c r="H155" s="48" t="n"/>
      <c r="I155" s="48" t="n"/>
      <c r="J155" s="48" t="n"/>
      <c r="K155" s="48" t="n"/>
      <c r="L155" s="48" t="n"/>
      <c r="M155" s="48" t="n"/>
      <c r="N155" s="48" t="n"/>
      <c r="O155" s="48" t="n"/>
      <c r="R155" s="48" t="n"/>
      <c r="S155" s="48">
        <f>IF(OR(K155="Evet",N155="Evet",H155="FAIL"),"🚩","")</f>
        <v/>
      </c>
    </row>
    <row r="156">
      <c r="A156" s="48">
        <f>IF(B156="","",ROW()-4)</f>
        <v/>
      </c>
      <c r="B156" s="48" t="n"/>
      <c r="C156" s="48" t="n"/>
      <c r="D156" s="48" t="n"/>
      <c r="E156" s="48" t="n"/>
      <c r="F156" s="48" t="n"/>
      <c r="G156" s="48" t="n"/>
      <c r="H156" s="48" t="n"/>
      <c r="I156" s="48" t="n"/>
      <c r="J156" s="48" t="n"/>
      <c r="K156" s="48" t="n"/>
      <c r="L156" s="48" t="n"/>
      <c r="M156" s="48" t="n"/>
      <c r="N156" s="48" t="n"/>
      <c r="O156" s="48" t="n"/>
      <c r="R156" s="48" t="n"/>
      <c r="S156" s="48">
        <f>IF(OR(K156="Evet",N156="Evet",H156="FAIL"),"🚩","")</f>
        <v/>
      </c>
    </row>
    <row r="157">
      <c r="A157" s="48">
        <f>IF(B157="","",ROW()-4)</f>
        <v/>
      </c>
      <c r="E157" s="48" t="n"/>
      <c r="F157" s="48" t="n"/>
      <c r="G157" s="48" t="n"/>
      <c r="S157" s="48">
        <f>IF(OR(K157="Evet",N157="Evet",H157="FAIL"),"🚩","")</f>
        <v/>
      </c>
    </row>
    <row r="158">
      <c r="A158" s="48">
        <f>IF(B158="","",ROW()-4)</f>
        <v/>
      </c>
      <c r="E158" s="48" t="n"/>
      <c r="F158" s="48" t="n"/>
      <c r="G158" s="48" t="n"/>
      <c r="S158" s="48">
        <f>IF(OR(K158="Evet",N158="Evet",H158="FAIL"),"🚩","")</f>
        <v/>
      </c>
    </row>
    <row r="159">
      <c r="A159" s="48">
        <f>IF(B159="","",ROW()-4)</f>
        <v/>
      </c>
      <c r="E159" s="48" t="n"/>
      <c r="F159" s="48" t="n"/>
      <c r="G159" s="48" t="n"/>
      <c r="S159" s="48">
        <f>IF(OR(K159="Evet",N159="Evet",H159="FAIL"),"🚩","")</f>
        <v/>
      </c>
    </row>
    <row r="160">
      <c r="A160" s="48">
        <f>IF(B160="","",ROW()-4)</f>
        <v/>
      </c>
      <c r="E160" s="48" t="n"/>
      <c r="F160" s="48" t="n"/>
      <c r="G160" s="48" t="n"/>
      <c r="S160" s="48">
        <f>IF(OR(K160="Evet",N160="Evet",H160="FAIL"),"🚩","")</f>
        <v/>
      </c>
    </row>
    <row r="161">
      <c r="A161" s="48">
        <f>IF(B161="","",ROW()-4)</f>
        <v/>
      </c>
      <c r="E161" s="48" t="n"/>
      <c r="F161" s="48" t="n"/>
      <c r="G161" s="48" t="n"/>
      <c r="S161" s="48">
        <f>IF(OR(K161="Evet",N161="Evet",H161="FAIL"),"🚩","")</f>
        <v/>
      </c>
    </row>
    <row r="162">
      <c r="A162" s="48">
        <f>IF(B162="","",ROW()-4)</f>
        <v/>
      </c>
      <c r="E162" s="48" t="n"/>
      <c r="F162" s="48" t="n"/>
      <c r="G162" s="48" t="n"/>
      <c r="S162" s="48">
        <f>IF(OR(K162="Evet",N162="Evet",H162="FAIL"),"🚩","")</f>
        <v/>
      </c>
    </row>
    <row r="163">
      <c r="A163" s="48">
        <f>IF(B163="","",ROW()-4)</f>
        <v/>
      </c>
      <c r="E163" s="48" t="n"/>
      <c r="F163" s="48" t="n"/>
      <c r="G163" s="48" t="n"/>
      <c r="S163" s="48">
        <f>IF(OR(K163="Evet",N163="Evet",H163="FAIL"),"🚩","")</f>
        <v/>
      </c>
    </row>
    <row r="164">
      <c r="A164" s="48">
        <f>IF(B164="","",ROW()-4)</f>
        <v/>
      </c>
      <c r="E164" s="48" t="n"/>
      <c r="F164" s="48" t="n"/>
      <c r="G164" s="48" t="n"/>
      <c r="S164" s="48">
        <f>IF(OR(K164="Evet",N164="Evet",H164="FAIL"),"🚩","")</f>
        <v/>
      </c>
    </row>
    <row r="165">
      <c r="A165" s="48">
        <f>IF(B165="","",ROW()-4)</f>
        <v/>
      </c>
      <c r="E165" s="48" t="n"/>
      <c r="F165" s="48" t="n"/>
      <c r="G165" s="48" t="n"/>
      <c r="S165" s="48">
        <f>IF(OR(K165="Evet",N165="Evet",H165="FAIL"),"🚩","")</f>
        <v/>
      </c>
    </row>
    <row r="166">
      <c r="A166" s="48">
        <f>IF(B166="","",ROW()-4)</f>
        <v/>
      </c>
      <c r="E166" s="48" t="n"/>
      <c r="F166" s="48" t="n"/>
      <c r="G166" s="48" t="n"/>
      <c r="S166" s="48">
        <f>IF(OR(K166="Evet",N166="Evet",H166="FAIL"),"🚩","")</f>
        <v/>
      </c>
    </row>
    <row r="167">
      <c r="A167" s="48">
        <f>IF(B167="","",ROW()-4)</f>
        <v/>
      </c>
      <c r="E167" s="48" t="n"/>
      <c r="F167" s="48" t="n"/>
      <c r="G167" s="48" t="n"/>
      <c r="S167" s="48">
        <f>IF(OR(K167="Evet",N167="Evet",H167="FAIL"),"🚩","")</f>
        <v/>
      </c>
    </row>
    <row r="168">
      <c r="A168" s="48">
        <f>IF(B168="","",ROW()-4)</f>
        <v/>
      </c>
      <c r="E168" s="48" t="n"/>
      <c r="F168" s="48" t="n"/>
      <c r="G168" s="48" t="n"/>
      <c r="S168" s="48">
        <f>IF(OR(K168="Evet",N168="Evet",H168="FAIL"),"🚩","")</f>
        <v/>
      </c>
    </row>
    <row r="169">
      <c r="A169" s="48">
        <f>IF(B169="","",ROW()-4)</f>
        <v/>
      </c>
      <c r="E169" s="48" t="n"/>
      <c r="F169" s="48" t="n"/>
      <c r="G169" s="48" t="n"/>
      <c r="S169" s="48">
        <f>IF(OR(K169="Evet",N169="Evet",H169="FAIL"),"🚩","")</f>
        <v/>
      </c>
    </row>
    <row r="170">
      <c r="A170" s="48">
        <f>IF(B170="","",ROW()-4)</f>
        <v/>
      </c>
      <c r="E170" s="48" t="n"/>
      <c r="F170" s="48" t="n"/>
      <c r="G170" s="48" t="n"/>
      <c r="S170" s="48">
        <f>IF(OR(K170="Evet",N170="Evet",H170="FAIL"),"🚩","")</f>
        <v/>
      </c>
    </row>
    <row r="171">
      <c r="A171" s="48">
        <f>IF(B171="","",ROW()-4)</f>
        <v/>
      </c>
      <c r="E171" s="48" t="n"/>
      <c r="F171" s="48" t="n"/>
      <c r="G171" s="48" t="n"/>
      <c r="S171" s="48">
        <f>IF(OR(K171="Evet",N171="Evet",H171="FAIL"),"🚩","")</f>
        <v/>
      </c>
    </row>
    <row r="172">
      <c r="A172" s="48">
        <f>IF(B172="","",ROW()-4)</f>
        <v/>
      </c>
      <c r="E172" s="48" t="n"/>
      <c r="F172" s="48" t="n"/>
      <c r="G172" s="48" t="n"/>
      <c r="S172" s="48">
        <f>IF(OR(K172="Evet",N172="Evet",H172="FAIL"),"🚩","")</f>
        <v/>
      </c>
    </row>
    <row r="173">
      <c r="A173" s="48">
        <f>IF(B173="","",ROW()-4)</f>
        <v/>
      </c>
      <c r="E173" s="48" t="n"/>
      <c r="F173" s="48" t="n"/>
      <c r="G173" s="48" t="n"/>
      <c r="S173" s="48">
        <f>IF(OR(K173="Evet",N173="Evet",H173="FAIL"),"🚩","")</f>
        <v/>
      </c>
    </row>
    <row r="174">
      <c r="A174" s="48">
        <f>IF(B174="","",ROW()-4)</f>
        <v/>
      </c>
      <c r="E174" s="48" t="n"/>
      <c r="F174" s="48" t="n"/>
      <c r="G174" s="48" t="n"/>
      <c r="S174" s="48">
        <f>IF(OR(K174="Evet",N174="Evet",H174="FAIL"),"🚩","")</f>
        <v/>
      </c>
    </row>
    <row r="175">
      <c r="A175" s="48">
        <f>IF(B175="","",ROW()-4)</f>
        <v/>
      </c>
      <c r="E175" s="48" t="n"/>
      <c r="F175" s="48" t="n"/>
      <c r="G175" s="48" t="n"/>
      <c r="S175" s="48">
        <f>IF(OR(K175="Evet",N175="Evet",H175="FAIL"),"🚩","")</f>
        <v/>
      </c>
    </row>
    <row r="176">
      <c r="A176" s="48">
        <f>IF(B176="","",ROW()-4)</f>
        <v/>
      </c>
      <c r="E176" s="48" t="n"/>
      <c r="F176" s="48" t="n"/>
      <c r="G176" s="48" t="n"/>
      <c r="S176" s="48">
        <f>IF(OR(K176="Evet",N176="Evet",H176="FAIL"),"🚩","")</f>
        <v/>
      </c>
    </row>
    <row r="177">
      <c r="A177" s="48">
        <f>IF(B177="","",ROW()-4)</f>
        <v/>
      </c>
      <c r="E177" s="48" t="n"/>
      <c r="F177" s="48" t="n"/>
      <c r="G177" s="48" t="n"/>
      <c r="S177" s="48">
        <f>IF(OR(K177="Evet",N177="Evet",H177="FAIL"),"🚩","")</f>
        <v/>
      </c>
    </row>
    <row r="178">
      <c r="A178" s="48">
        <f>IF(B178="","",ROW()-4)</f>
        <v/>
      </c>
      <c r="E178" s="48" t="n"/>
      <c r="F178" s="48" t="n"/>
      <c r="G178" s="48" t="n"/>
      <c r="S178" s="48">
        <f>IF(OR(K178="Evet",N178="Evet",H178="FAIL"),"🚩","")</f>
        <v/>
      </c>
    </row>
    <row r="179">
      <c r="A179" s="48">
        <f>IF(B179="","",ROW()-4)</f>
        <v/>
      </c>
      <c r="E179" s="48" t="n"/>
      <c r="F179" s="48" t="n"/>
      <c r="G179" s="48" t="n"/>
      <c r="S179" s="48">
        <f>IF(OR(K179="Evet",N179="Evet",H179="FAIL"),"🚩","")</f>
        <v/>
      </c>
    </row>
    <row r="180">
      <c r="A180" s="48">
        <f>IF(B180="","",ROW()-4)</f>
        <v/>
      </c>
      <c r="E180" s="48" t="n"/>
      <c r="F180" s="48" t="n"/>
      <c r="G180" s="48" t="n"/>
      <c r="S180" s="48">
        <f>IF(OR(K180="Evet",N180="Evet",H180="FAIL"),"🚩","")</f>
        <v/>
      </c>
    </row>
    <row r="181">
      <c r="A181" s="48">
        <f>IF(B181="","",ROW()-4)</f>
        <v/>
      </c>
      <c r="E181" s="48" t="n"/>
      <c r="F181" s="48" t="n"/>
      <c r="G181" s="48" t="n"/>
      <c r="S181" s="48">
        <f>IF(OR(K181="Evet",N181="Evet",H181="FAIL"),"🚩","")</f>
        <v/>
      </c>
    </row>
    <row r="182">
      <c r="A182" s="48">
        <f>IF(B182="","",ROW()-4)</f>
        <v/>
      </c>
      <c r="E182" s="48" t="n"/>
      <c r="F182" s="48" t="n"/>
      <c r="G182" s="48" t="n"/>
      <c r="S182" s="48">
        <f>IF(OR(K182="Evet",N182="Evet",H182="FAIL"),"🚩","")</f>
        <v/>
      </c>
    </row>
    <row r="183">
      <c r="A183" s="48">
        <f>IF(B183="","",ROW()-4)</f>
        <v/>
      </c>
      <c r="E183" s="48" t="n"/>
      <c r="F183" s="48" t="n"/>
      <c r="G183" s="48" t="n"/>
      <c r="S183" s="48">
        <f>IF(OR(K183="Evet",N183="Evet",H183="FAIL"),"🚩","")</f>
        <v/>
      </c>
    </row>
    <row r="184">
      <c r="A184" s="48">
        <f>IF(B184="","",ROW()-4)</f>
        <v/>
      </c>
      <c r="E184" s="48" t="n"/>
      <c r="F184" s="48" t="n"/>
      <c r="G184" s="48" t="n"/>
      <c r="S184" s="48">
        <f>IF(OR(K184="Evet",N184="Evet",H184="FAIL"),"🚩","")</f>
        <v/>
      </c>
    </row>
    <row r="185">
      <c r="A185" s="48">
        <f>IF(B185="","",ROW()-4)</f>
        <v/>
      </c>
      <c r="E185" s="48" t="n"/>
      <c r="F185" s="48" t="n"/>
      <c r="G185" s="48" t="n"/>
      <c r="S185" s="48">
        <f>IF(OR(K185="Evet",N185="Evet",H185="FAIL"),"🚩","")</f>
        <v/>
      </c>
    </row>
    <row r="186">
      <c r="A186" s="48">
        <f>IF(B186="","",ROW()-4)</f>
        <v/>
      </c>
      <c r="E186" s="48" t="n"/>
      <c r="F186" s="48" t="n"/>
      <c r="G186" s="48" t="n"/>
      <c r="S186" s="48">
        <f>IF(OR(K186="Evet",N186="Evet",H186="FAIL"),"🚩","")</f>
        <v/>
      </c>
    </row>
    <row r="187">
      <c r="A187" s="48">
        <f>IF(B187="","",ROW()-4)</f>
        <v/>
      </c>
      <c r="E187" s="48" t="n"/>
      <c r="F187" s="48" t="n"/>
      <c r="G187" s="48" t="n"/>
      <c r="S187" s="48">
        <f>IF(OR(K187="Evet",N187="Evet",H187="FAIL"),"🚩","")</f>
        <v/>
      </c>
    </row>
    <row r="188">
      <c r="A188" s="48">
        <f>IF(B188="","",ROW()-4)</f>
        <v/>
      </c>
      <c r="E188" s="48" t="n"/>
      <c r="F188" s="48" t="n"/>
      <c r="G188" s="48" t="n"/>
      <c r="S188" s="48">
        <f>IF(OR(K188="Evet",N188="Evet",H188="FAIL"),"🚩","")</f>
        <v/>
      </c>
    </row>
    <row r="189">
      <c r="A189" s="48">
        <f>IF(B189="","",ROW()-4)</f>
        <v/>
      </c>
      <c r="E189" s="48" t="n"/>
      <c r="F189" s="48" t="n"/>
      <c r="G189" s="48" t="n"/>
      <c r="S189" s="48">
        <f>IF(OR(K189="Evet",N189="Evet",H189="FAIL"),"🚩","")</f>
        <v/>
      </c>
    </row>
    <row r="190">
      <c r="A190" s="48">
        <f>IF(B190="","",ROW()-4)</f>
        <v/>
      </c>
      <c r="E190" s="48" t="n"/>
      <c r="F190" s="48" t="n"/>
      <c r="G190" s="48" t="n"/>
      <c r="S190" s="48">
        <f>IF(OR(K190="Evet",N190="Evet",H190="FAIL"),"🚩","")</f>
        <v/>
      </c>
    </row>
    <row r="191">
      <c r="A191" s="48">
        <f>IF(B191="","",ROW()-4)</f>
        <v/>
      </c>
      <c r="E191" s="48" t="n"/>
      <c r="F191" s="48" t="n"/>
      <c r="G191" s="48" t="n"/>
      <c r="S191" s="48">
        <f>IF(OR(K191="Evet",N191="Evet",H191="FAIL"),"🚩","")</f>
        <v/>
      </c>
    </row>
    <row r="192">
      <c r="A192" s="48">
        <f>IF(B192="","",ROW()-4)</f>
        <v/>
      </c>
      <c r="E192" s="48" t="n"/>
      <c r="F192" s="48" t="n"/>
      <c r="G192" s="48" t="n"/>
      <c r="S192" s="48">
        <f>IF(OR(K192="Evet",N192="Evet",H192="FAIL"),"🚩","")</f>
        <v/>
      </c>
    </row>
    <row r="193">
      <c r="A193" s="48">
        <f>IF(B193="","",ROW()-4)</f>
        <v/>
      </c>
      <c r="E193" s="48" t="n"/>
      <c r="F193" s="48" t="n"/>
      <c r="G193" s="48" t="n"/>
      <c r="S193" s="48">
        <f>IF(OR(K193="Evet",N193="Evet",H193="FAIL"),"🚩","")</f>
        <v/>
      </c>
    </row>
    <row r="194">
      <c r="A194" s="48">
        <f>IF(B194="","",ROW()-4)</f>
        <v/>
      </c>
      <c r="E194" s="48" t="n"/>
      <c r="F194" s="48" t="n"/>
      <c r="G194" s="48" t="n"/>
      <c r="S194" s="48">
        <f>IF(OR(K194="Evet",N194="Evet",H194="FAIL"),"🚩","")</f>
        <v/>
      </c>
    </row>
    <row r="195">
      <c r="A195" s="48">
        <f>IF(B195="","",ROW()-4)</f>
        <v/>
      </c>
      <c r="E195" s="48" t="n"/>
      <c r="F195" s="48" t="n"/>
      <c r="G195" s="48" t="n"/>
      <c r="S195" s="48">
        <f>IF(OR(K195="Evet",N195="Evet",H195="FAIL"),"🚩","")</f>
        <v/>
      </c>
    </row>
    <row r="196">
      <c r="A196" s="48">
        <f>IF(B196="","",ROW()-4)</f>
        <v/>
      </c>
      <c r="E196" s="48" t="n"/>
      <c r="F196" s="48" t="n"/>
      <c r="G196" s="48" t="n"/>
      <c r="S196" s="48">
        <f>IF(OR(K196="Evet",N196="Evet",H196="FAIL"),"🚩","")</f>
        <v/>
      </c>
    </row>
    <row r="197">
      <c r="A197" s="48">
        <f>IF(B197="","",ROW()-4)</f>
        <v/>
      </c>
      <c r="E197" s="48" t="n"/>
      <c r="F197" s="48" t="n"/>
      <c r="G197" s="48" t="n"/>
      <c r="S197" s="48">
        <f>IF(OR(K197="Evet",N197="Evet",H197="FAIL"),"🚩","")</f>
        <v/>
      </c>
    </row>
    <row r="198">
      <c r="A198" s="48">
        <f>IF(B198="","",ROW()-4)</f>
        <v/>
      </c>
      <c r="E198" s="48" t="n"/>
      <c r="F198" s="48" t="n"/>
      <c r="G198" s="48" t="n"/>
      <c r="S198" s="48">
        <f>IF(OR(K198="Evet",N198="Evet",H198="FAIL"),"🚩","")</f>
        <v/>
      </c>
    </row>
    <row r="199">
      <c r="A199" s="48">
        <f>IF(B199="","",ROW()-4)</f>
        <v/>
      </c>
      <c r="E199" s="48" t="n"/>
      <c r="F199" s="48" t="n"/>
      <c r="G199" s="48" t="n"/>
      <c r="S199" s="48">
        <f>IF(OR(K199="Evet",N199="Evet",H199="FAIL"),"🚩","")</f>
        <v/>
      </c>
    </row>
    <row r="200">
      <c r="A200" s="48">
        <f>IF(B200="","",ROW()-4)</f>
        <v/>
      </c>
      <c r="E200" s="48" t="n"/>
      <c r="F200" s="48" t="n"/>
      <c r="G200" s="48" t="n"/>
      <c r="S200" s="48">
        <f>IF(OR(K200="Evet",N200="Evet",H200="FAIL"),"🚩","")</f>
        <v/>
      </c>
    </row>
    <row r="201">
      <c r="A201" s="48">
        <f>IF(B201="","",ROW()-4)</f>
        <v/>
      </c>
      <c r="E201" s="48" t="n"/>
      <c r="F201" s="48" t="n"/>
      <c r="G201" s="48" t="n"/>
      <c r="S201" s="48">
        <f>IF(OR(K201="Evet",N201="Evet",H201="FAIL"),"🚩","")</f>
        <v/>
      </c>
    </row>
    <row r="202">
      <c r="A202" s="48">
        <f>IF(B202="","",ROW()-4)</f>
        <v/>
      </c>
      <c r="E202" s="48" t="n"/>
      <c r="F202" s="48" t="n"/>
      <c r="G202" s="48" t="n"/>
      <c r="S202" s="48">
        <f>IF(OR(K202="Evet",N202="Evet",H202="FAIL"),"🚩","")</f>
        <v/>
      </c>
    </row>
    <row r="203">
      <c r="A203" s="48">
        <f>IF(B203="","",ROW()-4)</f>
        <v/>
      </c>
      <c r="E203" s="48" t="n"/>
      <c r="F203" s="48" t="n"/>
      <c r="G203" s="48" t="n"/>
      <c r="S203" s="48">
        <f>IF(OR(K203="Evet",N203="Evet",H203="FAIL"),"🚩","")</f>
        <v/>
      </c>
    </row>
    <row r="204">
      <c r="A204" s="48">
        <f>IF(B204="","",ROW()-4)</f>
        <v/>
      </c>
      <c r="E204" s="48" t="n"/>
      <c r="F204" s="48" t="n"/>
      <c r="G204" s="48" t="n"/>
      <c r="S204" s="48">
        <f>IF(OR(K204="Evet",N204="Evet",H204="FAIL"),"🚩","")</f>
        <v/>
      </c>
    </row>
  </sheetData>
  <mergeCells count="2">
    <mergeCell ref="A2:S2"/>
    <mergeCell ref="A1:S1"/>
  </mergeCells>
  <conditionalFormatting sqref="A5:S54">
    <cfRule type="expression" rank="0" priority="2" equalAverage="0" aboveAverage="0" dxfId="0" text="" percent="0" bottom="0">
      <formula>$H5="PASS"</formula>
    </cfRule>
    <cfRule type="expression" rank="0" priority="3" equalAverage="0" aboveAverage="0" dxfId="1" text="" percent="0" bottom="0">
      <formula>$H5="FAIL"</formula>
    </cfRule>
    <cfRule type="expression" rank="0" priority="4" equalAverage="0" aboveAverage="0" dxfId="2" text="" percent="0" bottom="0">
      <formula>$H5="PARTIAL"</formula>
    </cfRule>
  </conditionalFormatting>
  <conditionalFormatting sqref="K5:K54">
    <cfRule type="expression" rank="0" priority="5" equalAverage="0" aboveAverage="0" dxfId="3" text="" percent="0" bottom="0">
      <formula>$K5="Evet"</formula>
    </cfRule>
  </conditionalFormatting>
  <dataValidations count="5">
    <dataValidation sqref="D5:D204" showDropDown="0" showInputMessage="0" showErrorMessage="0" allowBlank="1" type="list">
      <formula1>"S01,S02,S03,S04,S05,S06,S07,S08,S09,S10,S11,S12,S13,S14,S15"</formula1>
    </dataValidation>
    <dataValidation sqref="H5:H204" showDropDown="0" showInputMessage="0" showErrorMessage="0" allowBlank="1" type="list">
      <formula1>"PASS,FAIL,PARTIAL"</formula1>
    </dataValidation>
    <dataValidation sqref="J5:K204 N5:O204" showDropDown="0" showInputMessage="0" showErrorMessage="0" allowBlank="1" type="list">
      <formula1>"Evet,Hayır"</formula1>
    </dataValidation>
    <dataValidation sqref="L5:L204" showDropDown="0" showInputMessage="0" showErrorMessage="0" allowBlank="1" type="list">
      <formula1>"Yok,Uydurma Parça,Yanlış Teşhis,Protokol Dışı,Dil Karışımı,Diğer"</formula1>
    </dataValidation>
    <dataValidation sqref="G5:G204" showDropDown="0" showInputMessage="0" showErrorMessage="0" allowBlank="1" type="list">
      <formula1>"Kolay,Orta,Zor"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L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48" min="1" max="1"/>
    <col width="28" customWidth="1" style="48" min="2" max="2"/>
    <col width="30" customWidth="1" style="48" min="3" max="3"/>
    <col width="12" customWidth="1" style="48" min="4" max="4"/>
    <col width="8" customWidth="1" style="48" min="5" max="7"/>
    <col width="14" customWidth="1" style="48" min="8" max="8"/>
    <col width="12" customWidth="1" style="48" min="9" max="9"/>
    <col width="18" customWidth="1" style="48" min="10" max="10"/>
    <col width="12" customWidth="1" style="48" min="11" max="11"/>
    <col width="14" customWidth="1" style="48" min="12" max="12"/>
  </cols>
  <sheetData>
    <row r="1" ht="27.75" customHeight="1" s="49">
      <c r="A1" s="62" t="inlineStr">
        <is>
          <t>Senaryo Bazlı Başarı &amp; Halüsinasyon Analizi</t>
        </is>
      </c>
    </row>
    <row r="2" ht="15" customHeight="1" s="49">
      <c r="A2" s="51" t="inlineStr">
        <is>
          <t>Test Log sayfasındaki verilerden otomatik hesaplanır. Senaryo ID'leri eşleşmelidir.</t>
        </is>
      </c>
    </row>
    <row r="3" ht="6" customHeight="1" s="49"/>
    <row r="4" ht="15" customHeight="1" s="49">
      <c r="A4" s="52" t="inlineStr">
        <is>
          <t>Senaryo ID</t>
        </is>
      </c>
      <c r="B4" s="52" t="inlineStr">
        <is>
          <t>Senaryo Adı</t>
        </is>
      </c>
      <c r="C4" s="52" t="inlineStr">
        <is>
          <t>Araç / Arıza</t>
        </is>
      </c>
      <c r="D4" s="52" t="inlineStr">
        <is>
          <t>Test Sayısı</t>
        </is>
      </c>
      <c r="E4" s="52" t="inlineStr">
        <is>
          <t>PASS</t>
        </is>
      </c>
      <c r="F4" s="52" t="inlineStr">
        <is>
          <t>FAIL</t>
        </is>
      </c>
      <c r="G4" s="52" t="inlineStr">
        <is>
          <t>PARTIAL</t>
        </is>
      </c>
      <c r="H4" s="52" t="inlineStr">
        <is>
          <t>Başarı Oranı %</t>
        </is>
      </c>
      <c r="I4" s="52" t="inlineStr">
        <is>
          <t>Ort. Mesaj</t>
        </is>
      </c>
      <c r="J4" s="52" t="inlineStr">
        <is>
          <t>Halüsinasyon Sayısı</t>
        </is>
      </c>
      <c r="K4" s="52" t="inlineStr">
        <is>
          <t>Hal. Oranı %</t>
        </is>
      </c>
      <c r="L4" s="52" t="inlineStr">
        <is>
          <t>Risk Seviyesi</t>
        </is>
      </c>
    </row>
    <row r="5" ht="15" customHeight="1" s="49">
      <c r="A5" s="63" t="inlineStr">
        <is>
          <t>S01</t>
        </is>
      </c>
      <c r="B5" s="64" t="inlineStr">
        <is>
          <t>Araç Çalışmıyor (Akü)</t>
        </is>
      </c>
      <c r="C5" s="64" t="inlineStr">
        <is>
          <t>Elektrik – Akü</t>
        </is>
      </c>
      <c r="D5" s="65">
        <f>COUNTIF('Test Log'!D$5:D$204,A5)</f>
        <v/>
      </c>
      <c r="E5" s="65">
        <f>COUNTIFS('Test Log'!D$5:D$204,A5,'Test Log'!H$5:H$204,"PASS")</f>
        <v/>
      </c>
      <c r="F5" s="65">
        <f>COUNTIFS('Test Log'!D$5:D$204,A5,'Test Log'!H$5:H$204,"FAIL")</f>
        <v/>
      </c>
      <c r="G5" s="65">
        <f>COUNTIFS('Test Log'!D$5:D$204,A5,'Test Log'!H$5:H$204,"PARTIAL")</f>
        <v/>
      </c>
      <c r="H5" s="66">
        <f>IFERROR(E5/D5,0)</f>
        <v/>
      </c>
      <c r="I5" s="67">
        <f>IFERROR(AVERAGEIF('Test Log'!D$5:D$204,A5,'Test Log'!I$5:I$204),0)</f>
        <v/>
      </c>
      <c r="J5" s="65">
        <f>COUNTIFS('Test Log'!D$5:D$204,A5,'Test Log'!K$5:K$204,"Evet")</f>
        <v/>
      </c>
      <c r="K5" s="66">
        <f>IFERROR(J5/D5,0)</f>
        <v/>
      </c>
      <c r="L5" s="65">
        <f>IF(K5&gt;0.3,"🔴 Yüksek",IF(K5&gt;0.1,"🟡 Orta","🟢 Düşük"))</f>
        <v/>
      </c>
    </row>
    <row r="6" ht="15" customHeight="1" s="49">
      <c r="A6" s="68" t="inlineStr">
        <is>
          <t>S02</t>
        </is>
      </c>
      <c r="B6" s="69" t="inlineStr">
        <is>
          <t>Marş Tık Sesi (Starter)</t>
        </is>
      </c>
      <c r="C6" s="69" t="inlineStr">
        <is>
          <t>Elektrik – Marş Motoru</t>
        </is>
      </c>
      <c r="D6" s="70">
        <f>COUNTIF('Test Log'!D$5:D$204,A6)</f>
        <v/>
      </c>
      <c r="E6" s="70">
        <f>COUNTIFS('Test Log'!D$5:D$204,A6,'Test Log'!H$5:H$204,"PASS")</f>
        <v/>
      </c>
      <c r="F6" s="70">
        <f>COUNTIFS('Test Log'!D$5:D$204,A6,'Test Log'!H$5:H$204,"FAIL")</f>
        <v/>
      </c>
      <c r="G6" s="70">
        <f>COUNTIFS('Test Log'!D$5:D$204,A6,'Test Log'!H$5:H$204,"PARTIAL")</f>
        <v/>
      </c>
      <c r="H6" s="71">
        <f>IFERROR(E6/D6,0)</f>
        <v/>
      </c>
      <c r="I6" s="72">
        <f>IFERROR(AVERAGEIF('Test Log'!D$5:D$204,A6,'Test Log'!I$5:I$204),0)</f>
        <v/>
      </c>
      <c r="J6" s="70">
        <f>COUNTIFS('Test Log'!D$5:D$204,A6,'Test Log'!K$5:K$204,"Evet")</f>
        <v/>
      </c>
      <c r="K6" s="71">
        <f>IFERROR(J6/D6,0)</f>
        <v/>
      </c>
      <c r="L6" s="70">
        <f>IF(K6&gt;0.3,"🔴 Yüksek",IF(K6&gt;0.1,"🟡 Orta","🟢 Düşük"))</f>
        <v/>
      </c>
    </row>
    <row r="7" ht="15" customHeight="1" s="49">
      <c r="A7" s="63" t="inlineStr">
        <is>
          <t>S03</t>
        </is>
      </c>
      <c r="B7" s="64" t="inlineStr">
        <is>
          <t>Sol Far Yanmıyor (Sigorta)</t>
        </is>
      </c>
      <c r="C7" s="64" t="inlineStr">
        <is>
          <t>Elektrik – Aydınlatma</t>
        </is>
      </c>
      <c r="D7" s="65">
        <f>COUNTIF('Test Log'!D$5:D$204,A7)</f>
        <v/>
      </c>
      <c r="E7" s="65">
        <f>COUNTIFS('Test Log'!D$5:D$204,A7,'Test Log'!H$5:H$204,"PASS")</f>
        <v/>
      </c>
      <c r="F7" s="65">
        <f>COUNTIFS('Test Log'!D$5:D$204,A7,'Test Log'!H$5:H$204,"FAIL")</f>
        <v/>
      </c>
      <c r="G7" s="65">
        <f>COUNTIFS('Test Log'!D$5:D$204,A7,'Test Log'!H$5:H$204,"PARTIAL")</f>
        <v/>
      </c>
      <c r="H7" s="66">
        <f>IFERROR(E7/D7,0)</f>
        <v/>
      </c>
      <c r="I7" s="67">
        <f>IFERROR(AVERAGEIF('Test Log'!D$5:D$204,A7,'Test Log'!I$5:I$204),0)</f>
        <v/>
      </c>
      <c r="J7" s="65">
        <f>COUNTIFS('Test Log'!D$5:D$204,A7,'Test Log'!K$5:K$204,"Evet")</f>
        <v/>
      </c>
      <c r="K7" s="66">
        <f>IFERROR(J7/D7,0)</f>
        <v/>
      </c>
      <c r="L7" s="65">
        <f>IF(K7&gt;0.3,"🔴 Yüksek",IF(K7&gt;0.1,"🟡 Orta","🟢 Düşük"))</f>
        <v/>
      </c>
    </row>
    <row r="8" ht="15" customHeight="1" s="49">
      <c r="A8" s="68" t="inlineStr">
        <is>
          <t>S04</t>
        </is>
      </c>
      <c r="B8" s="69" t="inlineStr">
        <is>
          <t>Silecek Çalışmıyor (Motor)</t>
        </is>
      </c>
      <c r="C8" s="69" t="inlineStr">
        <is>
          <t>Elektrik – Silecek</t>
        </is>
      </c>
      <c r="D8" s="70">
        <f>COUNTIF('Test Log'!D$5:D$204,A8)</f>
        <v/>
      </c>
      <c r="E8" s="70">
        <f>COUNTIFS('Test Log'!D$5:D$204,A8,'Test Log'!H$5:H$204,"PASS")</f>
        <v/>
      </c>
      <c r="F8" s="70">
        <f>COUNTIFS('Test Log'!D$5:D$204,A8,'Test Log'!H$5:H$204,"FAIL")</f>
        <v/>
      </c>
      <c r="G8" s="70">
        <f>COUNTIFS('Test Log'!D$5:D$204,A8,'Test Log'!H$5:H$204,"PARTIAL")</f>
        <v/>
      </c>
      <c r="H8" s="71">
        <f>IFERROR(E8/D8,0)</f>
        <v/>
      </c>
      <c r="I8" s="72">
        <f>IFERROR(AVERAGEIF('Test Log'!D$5:D$204,A8,'Test Log'!I$5:I$204),0)</f>
        <v/>
      </c>
      <c r="J8" s="70">
        <f>COUNTIFS('Test Log'!D$5:D$204,A8,'Test Log'!K$5:K$204,"Evet")</f>
        <v/>
      </c>
      <c r="K8" s="71">
        <f>IFERROR(J8/D8,0)</f>
        <v/>
      </c>
      <c r="L8" s="70">
        <f>IF(K8&gt;0.3,"🔴 Yüksek",IF(K8&gt;0.1,"🟡 Orta","🟢 Düşük"))</f>
        <v/>
      </c>
    </row>
    <row r="9" ht="15" customHeight="1" s="49">
      <c r="A9" s="63" t="inlineStr">
        <is>
          <t>S05</t>
        </is>
      </c>
      <c r="B9" s="64" t="inlineStr">
        <is>
          <t>Klima Soğutmuyor (Gaz Kaçağı)</t>
        </is>
      </c>
      <c r="C9" s="64" t="inlineStr">
        <is>
          <t>Klima Sistemi</t>
        </is>
      </c>
      <c r="D9" s="65">
        <f>COUNTIF('Test Log'!D$5:D$204,A9)</f>
        <v/>
      </c>
      <c r="E9" s="65">
        <f>COUNTIFS('Test Log'!D$5:D$204,A9,'Test Log'!H$5:H$204,"PASS")</f>
        <v/>
      </c>
      <c r="F9" s="65">
        <f>COUNTIFS('Test Log'!D$5:D$204,A9,'Test Log'!H$5:H$204,"FAIL")</f>
        <v/>
      </c>
      <c r="G9" s="65">
        <f>COUNTIFS('Test Log'!D$5:D$204,A9,'Test Log'!H$5:H$204,"PARTIAL")</f>
        <v/>
      </c>
      <c r="H9" s="66">
        <f>IFERROR(E9/D9,0)</f>
        <v/>
      </c>
      <c r="I9" s="67">
        <f>IFERROR(AVERAGEIF('Test Log'!D$5:D$204,A9,'Test Log'!I$5:I$204),0)</f>
        <v/>
      </c>
      <c r="J9" s="65">
        <f>COUNTIFS('Test Log'!D$5:D$204,A9,'Test Log'!K$5:K$204,"Evet")</f>
        <v/>
      </c>
      <c r="K9" s="66">
        <f>IFERROR(J9/D9,0)</f>
        <v/>
      </c>
      <c r="L9" s="65">
        <f>IF(K9&gt;0.3,"🔴 Yüksek",IF(K9&gt;0.1,"🟡 Orta","🟢 Düşük"))</f>
        <v/>
      </c>
    </row>
    <row r="10" ht="15" customHeight="1" s="49">
      <c r="A10" s="68" t="inlineStr">
        <is>
          <t>S06</t>
        </is>
      </c>
      <c r="B10" s="69" t="inlineStr">
        <is>
          <t>Aşırı Isınma (Termostat)</t>
        </is>
      </c>
      <c r="C10" s="69" t="inlineStr">
        <is>
          <t>Soğutma Sistemi</t>
        </is>
      </c>
      <c r="D10" s="70">
        <f>COUNTIF('Test Log'!D$5:D$204,A10)</f>
        <v/>
      </c>
      <c r="E10" s="70">
        <f>COUNTIFS('Test Log'!D$5:D$204,A10,'Test Log'!H$5:H$204,"PASS")</f>
        <v/>
      </c>
      <c r="F10" s="70">
        <f>COUNTIFS('Test Log'!D$5:D$204,A10,'Test Log'!H$5:H$204,"FAIL")</f>
        <v/>
      </c>
      <c r="G10" s="70">
        <f>COUNTIFS('Test Log'!D$5:D$204,A10,'Test Log'!H$5:H$204,"PARTIAL")</f>
        <v/>
      </c>
      <c r="H10" s="71">
        <f>IFERROR(E10/D10,0)</f>
        <v/>
      </c>
      <c r="I10" s="72">
        <f>IFERROR(AVERAGEIF('Test Log'!D$5:D$204,A10,'Test Log'!I$5:I$204),0)</f>
        <v/>
      </c>
      <c r="J10" s="70">
        <f>COUNTIFS('Test Log'!D$5:D$204,A10,'Test Log'!K$5:K$204,"Evet")</f>
        <v/>
      </c>
      <c r="K10" s="71">
        <f>IFERROR(J10/D10,0)</f>
        <v/>
      </c>
      <c r="L10" s="70">
        <f>IF(K10&gt;0.3,"🔴 Yüksek",IF(K10&gt;0.1,"🟡 Orta","🟢 Düşük"))</f>
        <v/>
      </c>
    </row>
    <row r="11" ht="15" customHeight="1" s="49">
      <c r="A11" s="63" t="inlineStr">
        <is>
          <t>S07</t>
        </is>
      </c>
      <c r="B11" s="64" t="inlineStr">
        <is>
          <t>Rölanti Titremesi (Buji)</t>
        </is>
      </c>
      <c r="C11" s="64" t="inlineStr">
        <is>
          <t>Ateşleme Sistemi</t>
        </is>
      </c>
      <c r="D11" s="65">
        <f>COUNTIF('Test Log'!D$5:D$204,A11)</f>
        <v/>
      </c>
      <c r="E11" s="65">
        <f>COUNTIFS('Test Log'!D$5:D$204,A11,'Test Log'!H$5:H$204,"PASS")</f>
        <v/>
      </c>
      <c r="F11" s="65">
        <f>COUNTIFS('Test Log'!D$5:D$204,A11,'Test Log'!H$5:H$204,"FAIL")</f>
        <v/>
      </c>
      <c r="G11" s="65">
        <f>COUNTIFS('Test Log'!D$5:D$204,A11,'Test Log'!H$5:H$204,"PARTIAL")</f>
        <v/>
      </c>
      <c r="H11" s="66">
        <f>IFERROR(E11/D11,0)</f>
        <v/>
      </c>
      <c r="I11" s="67">
        <f>IFERROR(AVERAGEIF('Test Log'!D$5:D$204,A11,'Test Log'!I$5:I$204),0)</f>
        <v/>
      </c>
      <c r="J11" s="65">
        <f>COUNTIFS('Test Log'!D$5:D$204,A11,'Test Log'!K$5:K$204,"Evet")</f>
        <v/>
      </c>
      <c r="K11" s="66">
        <f>IFERROR(J11/D11,0)</f>
        <v/>
      </c>
      <c r="L11" s="65">
        <f>IF(K11&gt;0.3,"🔴 Yüksek",IF(K11&gt;0.1,"🟡 Orta","🟢 Düşük"))</f>
        <v/>
      </c>
    </row>
    <row r="12" ht="15" customHeight="1" s="49">
      <c r="A12" s="68" t="inlineStr">
        <is>
          <t>S08</t>
        </is>
      </c>
      <c r="B12" s="69" t="inlineStr">
        <is>
          <t>Sert Vites (ATF Sıvısı)</t>
        </is>
      </c>
      <c r="C12" s="69" t="inlineStr">
        <is>
          <t>Otomatik Şanzıman</t>
        </is>
      </c>
      <c r="D12" s="70">
        <f>COUNTIF('Test Log'!D$5:D$204,A12)</f>
        <v/>
      </c>
      <c r="E12" s="70">
        <f>COUNTIFS('Test Log'!D$5:D$204,A12,'Test Log'!H$5:H$204,"PASS")</f>
        <v/>
      </c>
      <c r="F12" s="70">
        <f>COUNTIFS('Test Log'!D$5:D$204,A12,'Test Log'!H$5:H$204,"FAIL")</f>
        <v/>
      </c>
      <c r="G12" s="70">
        <f>COUNTIFS('Test Log'!D$5:D$204,A12,'Test Log'!H$5:H$204,"PARTIAL")</f>
        <v/>
      </c>
      <c r="H12" s="71">
        <f>IFERROR(E12/D12,0)</f>
        <v/>
      </c>
      <c r="I12" s="72">
        <f>IFERROR(AVERAGEIF('Test Log'!D$5:D$204,A12,'Test Log'!I$5:I$204),0)</f>
        <v/>
      </c>
      <c r="J12" s="70">
        <f>COUNTIFS('Test Log'!D$5:D$204,A12,'Test Log'!K$5:K$204,"Evet")</f>
        <v/>
      </c>
      <c r="K12" s="71">
        <f>IFERROR(J12/D12,0)</f>
        <v/>
      </c>
      <c r="L12" s="70">
        <f>IF(K12&gt;0.3,"🔴 Yüksek",IF(K12&gt;0.1,"🟡 Orta","🟢 Düşük"))</f>
        <v/>
      </c>
    </row>
    <row r="13" ht="15" customHeight="1" s="49">
      <c r="A13" s="63" t="inlineStr">
        <is>
          <t>S09</t>
        </is>
      </c>
      <c r="B13" s="64" t="inlineStr">
        <is>
          <t>Fren Sesi (Balata Aşınması)</t>
        </is>
      </c>
      <c r="C13" s="64" t="inlineStr">
        <is>
          <t>Fren Sistemi</t>
        </is>
      </c>
      <c r="D13" s="65">
        <f>COUNTIF('Test Log'!D$5:D$204,A13)</f>
        <v/>
      </c>
      <c r="E13" s="65">
        <f>COUNTIFS('Test Log'!D$5:D$204,A13,'Test Log'!H$5:H$204,"PASS")</f>
        <v/>
      </c>
      <c r="F13" s="65">
        <f>COUNTIFS('Test Log'!D$5:D$204,A13,'Test Log'!H$5:H$204,"FAIL")</f>
        <v/>
      </c>
      <c r="G13" s="65">
        <f>COUNTIFS('Test Log'!D$5:D$204,A13,'Test Log'!H$5:H$204,"PARTIAL")</f>
        <v/>
      </c>
      <c r="H13" s="66">
        <f>IFERROR(E13/D13,0)</f>
        <v/>
      </c>
      <c r="I13" s="67">
        <f>IFERROR(AVERAGEIF('Test Log'!D$5:D$204,A13,'Test Log'!I$5:I$204),0)</f>
        <v/>
      </c>
      <c r="J13" s="65">
        <f>COUNTIFS('Test Log'!D$5:D$204,A13,'Test Log'!K$5:K$204,"Evet")</f>
        <v/>
      </c>
      <c r="K13" s="66">
        <f>IFERROR(J13/D13,0)</f>
        <v/>
      </c>
      <c r="L13" s="65">
        <f>IF(K13&gt;0.3,"🔴 Yüksek",IF(K13&gt;0.1,"🟡 Orta","🟢 Düşük"))</f>
        <v/>
      </c>
    </row>
    <row r="14" ht="15" customHeight="1" s="49">
      <c r="A14" s="68" t="inlineStr">
        <is>
          <t>S10</t>
        </is>
      </c>
      <c r="B14" s="69" t="inlineStr">
        <is>
          <t>Check Engine (O2 Sensör)</t>
        </is>
      </c>
      <c r="C14" s="69" t="inlineStr">
        <is>
          <t>OBD – Sensör Arızası</t>
        </is>
      </c>
      <c r="D14" s="70">
        <f>COUNTIF('Test Log'!D$5:D$204,A14)</f>
        <v/>
      </c>
      <c r="E14" s="70">
        <f>COUNTIFS('Test Log'!D$5:D$204,A14,'Test Log'!H$5:H$204,"PASS")</f>
        <v/>
      </c>
      <c r="F14" s="70">
        <f>COUNTIFS('Test Log'!D$5:D$204,A14,'Test Log'!H$5:H$204,"FAIL")</f>
        <v/>
      </c>
      <c r="G14" s="70">
        <f>COUNTIFS('Test Log'!D$5:D$204,A14,'Test Log'!H$5:H$204,"PARTIAL")</f>
        <v/>
      </c>
      <c r="H14" s="71">
        <f>IFERROR(E14/D14,0)</f>
        <v/>
      </c>
      <c r="I14" s="72">
        <f>IFERROR(AVERAGEIF('Test Log'!D$5:D$204,A14,'Test Log'!I$5:I$204),0)</f>
        <v/>
      </c>
      <c r="J14" s="70">
        <f>COUNTIFS('Test Log'!D$5:D$204,A14,'Test Log'!K$5:K$204,"Evet")</f>
        <v/>
      </c>
      <c r="K14" s="71">
        <f>IFERROR(J14/D14,0)</f>
        <v/>
      </c>
      <c r="L14" s="70">
        <f>IF(K14&gt;0.3,"🔴 Yüksek",IF(K14&gt;0.1,"🟡 Orta","🟢 Düşük"))</f>
        <v/>
      </c>
    </row>
    <row r="15" ht="15" customHeight="1" s="49">
      <c r="A15" s="63" t="inlineStr">
        <is>
          <t>S11</t>
        </is>
      </c>
      <c r="B15" s="64" t="inlineStr">
        <is>
          <t>Yağ Yakma (Piston Segman)</t>
        </is>
      </c>
      <c r="C15" s="64" t="inlineStr">
        <is>
          <t>Motor – Mekanik</t>
        </is>
      </c>
      <c r="D15" s="65">
        <f>COUNTIF('Test Log'!D$5:D$204,A15)</f>
        <v/>
      </c>
      <c r="E15" s="65">
        <f>COUNTIFS('Test Log'!D$5:D$204,A15,'Test Log'!H$5:H$204,"PASS")</f>
        <v/>
      </c>
      <c r="F15" s="65">
        <f>COUNTIFS('Test Log'!D$5:D$204,A15,'Test Log'!H$5:H$204,"FAIL")</f>
        <v/>
      </c>
      <c r="G15" s="65">
        <f>COUNTIFS('Test Log'!D$5:D$204,A15,'Test Log'!H$5:H$204,"PARTIAL")</f>
        <v/>
      </c>
      <c r="H15" s="66">
        <f>IFERROR(E15/D15,0)</f>
        <v/>
      </c>
      <c r="I15" s="67">
        <f>IFERROR(AVERAGEIF('Test Log'!D$5:D$204,A15,'Test Log'!I$5:I$204),0)</f>
        <v/>
      </c>
      <c r="J15" s="65">
        <f>COUNTIFS('Test Log'!D$5:D$204,A15,'Test Log'!K$5:K$204,"Evet")</f>
        <v/>
      </c>
      <c r="K15" s="66">
        <f>IFERROR(J15/D15,0)</f>
        <v/>
      </c>
      <c r="L15" s="65">
        <f>IF(K15&gt;0.3,"🔴 Yüksek",IF(K15&gt;0.1,"🟡 Orta","🟢 Düşük"))</f>
        <v/>
      </c>
    </row>
    <row r="16" ht="15" customHeight="1" s="49">
      <c r="A16" s="68" t="inlineStr">
        <is>
          <t>S12</t>
        </is>
      </c>
      <c r="B16" s="69" t="inlineStr">
        <is>
          <t>Conta Patlaması (Coolant)</t>
        </is>
      </c>
      <c r="C16" s="69" t="inlineStr">
        <is>
          <t>Motor – Conta</t>
        </is>
      </c>
      <c r="D16" s="70">
        <f>COUNTIF('Test Log'!D$5:D$204,A16)</f>
        <v/>
      </c>
      <c r="E16" s="70">
        <f>COUNTIFS('Test Log'!D$5:D$204,A16,'Test Log'!H$5:H$204,"PASS")</f>
        <v/>
      </c>
      <c r="F16" s="70">
        <f>COUNTIFS('Test Log'!D$5:D$204,A16,'Test Log'!H$5:H$204,"FAIL")</f>
        <v/>
      </c>
      <c r="G16" s="70">
        <f>COUNTIFS('Test Log'!D$5:D$204,A16,'Test Log'!H$5:H$204,"PARTIAL")</f>
        <v/>
      </c>
      <c r="H16" s="71">
        <f>IFERROR(E16/D16,0)</f>
        <v/>
      </c>
      <c r="I16" s="72">
        <f>IFERROR(AVERAGEIF('Test Log'!D$5:D$204,A16,'Test Log'!I$5:I$204),0)</f>
        <v/>
      </c>
      <c r="J16" s="70">
        <f>COUNTIFS('Test Log'!D$5:D$204,A16,'Test Log'!K$5:K$204,"Evet")</f>
        <v/>
      </c>
      <c r="K16" s="71">
        <f>IFERROR(J16/D16,0)</f>
        <v/>
      </c>
      <c r="L16" s="70">
        <f>IF(K16&gt;0.3,"🔴 Yüksek",IF(K16&gt;0.1,"🟡 Orta","🟢 Düşük"))</f>
        <v/>
      </c>
    </row>
    <row r="17" ht="15" customHeight="1" s="49">
      <c r="A17" s="63" t="inlineStr">
        <is>
          <t>S13</t>
        </is>
      </c>
      <c r="B17" s="64" t="inlineStr">
        <is>
          <t>Su Pompası Arızası</t>
        </is>
      </c>
      <c r="C17" s="64" t="inlineStr">
        <is>
          <t>Soğutma – Pompa</t>
        </is>
      </c>
      <c r="D17" s="65">
        <f>COUNTIF('Test Log'!D$5:D$204,A17)</f>
        <v/>
      </c>
      <c r="E17" s="65">
        <f>COUNTIFS('Test Log'!D$5:D$204,A17,'Test Log'!H$5:H$204,"PASS")</f>
        <v/>
      </c>
      <c r="F17" s="65">
        <f>COUNTIFS('Test Log'!D$5:D$204,A17,'Test Log'!H$5:H$204,"FAIL")</f>
        <v/>
      </c>
      <c r="G17" s="65">
        <f>COUNTIFS('Test Log'!D$5:D$204,A17,'Test Log'!H$5:H$204,"PARTIAL")</f>
        <v/>
      </c>
      <c r="H17" s="66">
        <f>IFERROR(E17/D17,0)</f>
        <v/>
      </c>
      <c r="I17" s="67">
        <f>IFERROR(AVERAGEIF('Test Log'!D$5:D$204,A17,'Test Log'!I$5:I$204),0)</f>
        <v/>
      </c>
      <c r="J17" s="65">
        <f>COUNTIFS('Test Log'!D$5:D$204,A17,'Test Log'!K$5:K$204,"Evet")</f>
        <v/>
      </c>
      <c r="K17" s="66">
        <f>IFERROR(J17/D17,0)</f>
        <v/>
      </c>
      <c r="L17" s="65">
        <f>IF(K17&gt;0.3,"🔴 Yüksek",IF(K17&gt;0.1,"🟡 Orta","🟢 Düşük"))</f>
        <v/>
      </c>
    </row>
    <row r="18" ht="15" customHeight="1" s="49">
      <c r="A18" s="68" t="inlineStr">
        <is>
          <t>S14</t>
        </is>
      </c>
      <c r="B18" s="69" t="inlineStr">
        <is>
          <t>Güç Kaybı (Triger Kayması)</t>
        </is>
      </c>
      <c r="C18" s="69" t="inlineStr">
        <is>
          <t>Motor – Timing</t>
        </is>
      </c>
      <c r="D18" s="70">
        <f>COUNTIF('Test Log'!D$5:D$204,A18)</f>
        <v/>
      </c>
      <c r="E18" s="70">
        <f>COUNTIFS('Test Log'!D$5:D$204,A18,'Test Log'!H$5:H$204,"PASS")</f>
        <v/>
      </c>
      <c r="F18" s="70">
        <f>COUNTIFS('Test Log'!D$5:D$204,A18,'Test Log'!H$5:H$204,"FAIL")</f>
        <v/>
      </c>
      <c r="G18" s="70">
        <f>COUNTIFS('Test Log'!D$5:D$204,A18,'Test Log'!H$5:H$204,"PARTIAL")</f>
        <v/>
      </c>
      <c r="H18" s="71">
        <f>IFERROR(E18/D18,0)</f>
        <v/>
      </c>
      <c r="I18" s="72">
        <f>IFERROR(AVERAGEIF('Test Log'!D$5:D$204,A18,'Test Log'!I$5:I$204),0)</f>
        <v/>
      </c>
      <c r="J18" s="70">
        <f>COUNTIFS('Test Log'!D$5:D$204,A18,'Test Log'!K$5:K$204,"Evet")</f>
        <v/>
      </c>
      <c r="K18" s="71">
        <f>IFERROR(J18/D18,0)</f>
        <v/>
      </c>
      <c r="L18" s="70">
        <f>IF(K18&gt;0.3,"🔴 Yüksek",IF(K18&gt;0.1,"🟡 Orta","🟢 Düşük"))</f>
        <v/>
      </c>
    </row>
    <row r="19" ht="15" customHeight="1" s="49">
      <c r="A19" s="63" t="inlineStr">
        <is>
          <t>S15</t>
        </is>
      </c>
      <c r="B19" s="64" t="inlineStr">
        <is>
          <t>LPG Arızası (ECU Kalibrasyon)</t>
        </is>
      </c>
      <c r="C19" s="64" t="inlineStr">
        <is>
          <t>LPG Sistemi</t>
        </is>
      </c>
      <c r="D19" s="65">
        <f>COUNTIF('Test Log'!D$5:D$204,A19)</f>
        <v/>
      </c>
      <c r="E19" s="65">
        <f>COUNTIFS('Test Log'!D$5:D$204,A19,'Test Log'!H$5:H$204,"PASS")</f>
        <v/>
      </c>
      <c r="F19" s="65">
        <f>COUNTIFS('Test Log'!D$5:D$204,A19,'Test Log'!H$5:H$204,"FAIL")</f>
        <v/>
      </c>
      <c r="G19" s="65">
        <f>COUNTIFS('Test Log'!D$5:D$204,A19,'Test Log'!H$5:H$204,"PARTIAL")</f>
        <v/>
      </c>
      <c r="H19" s="66">
        <f>IFERROR(E19/D19,0)</f>
        <v/>
      </c>
      <c r="I19" s="67">
        <f>IFERROR(AVERAGEIF('Test Log'!D$5:D$204,A19,'Test Log'!I$5:I$204),0)</f>
        <v/>
      </c>
      <c r="J19" s="65">
        <f>COUNTIFS('Test Log'!D$5:D$204,A19,'Test Log'!K$5:K$204,"Evet")</f>
        <v/>
      </c>
      <c r="K19" s="66">
        <f>IFERROR(J19/D19,0)</f>
        <v/>
      </c>
      <c r="L19" s="65">
        <f>IF(K19&gt;0.3,"🔴 Yüksek",IF(K19&gt;0.1,"🟡 Orta","🟢 Düşük"))</f>
        <v/>
      </c>
    </row>
  </sheetData>
  <mergeCells count="2">
    <mergeCell ref="A2:L2"/>
    <mergeCell ref="A1:L1"/>
  </mergeCells>
  <conditionalFormatting sqref="H5:H19">
    <cfRule type="colorScale" priority="2">
      <colorScale>
        <cfvo type="num" val="0"/>
        <cfvo type="num" val="0.5"/>
        <cfvo type="num" val="1"/>
        <color rgb="FFE74C3C"/>
        <color rgb="FFF39C12"/>
        <color rgb="FF27AE60"/>
      </colorScale>
    </cfRule>
  </conditionalFormatting>
  <conditionalFormatting sqref="K5:K19">
    <cfRule type="colorScale" priority="3">
      <colorScale>
        <cfvo type="num" val="0"/>
        <cfvo type="num" val="0.2"/>
        <cfvo type="num" val="0.5"/>
        <color rgb="FF27AE60"/>
        <color rgb="FFF39C12"/>
        <color rgb="FFE74C3C"/>
      </colorScale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J1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48" min="1" max="1"/>
    <col width="12" customWidth="1" style="48" min="2" max="3"/>
    <col width="15" customWidth="1" style="48" min="4" max="4"/>
    <col width="20" customWidth="1" style="48" min="5" max="5"/>
    <col width="45" customWidth="1" style="48" min="6" max="7"/>
    <col width="40" customWidth="1" style="48" min="8" max="8"/>
    <col width="22" customWidth="1" style="48" min="9" max="10"/>
  </cols>
  <sheetData>
    <row r="1" ht="27.75" customHeight="1" s="49">
      <c r="A1" s="73" t="inlineStr">
        <is>
          <t>Halüsinasyon Detay Kaydı</t>
        </is>
      </c>
    </row>
    <row r="2" ht="15" customHeight="1" s="49">
      <c r="A2" s="74" t="inlineStr">
        <is>
          <t>Halüsinasyon tespit edilen her vaka için ayrı satır doldurun. Test ID, Test Log ile eşleşmelidir.</t>
        </is>
      </c>
    </row>
    <row r="3" ht="6" customHeight="1" s="49"/>
    <row r="4" ht="15" customHeight="1" s="49">
      <c r="A4" s="75" t="inlineStr">
        <is>
          <t>Test ID</t>
        </is>
      </c>
      <c r="B4" s="75" t="inlineStr">
        <is>
          <t>Senaryo ID</t>
        </is>
      </c>
      <c r="C4" s="75" t="inlineStr">
        <is>
          <t>Tarih</t>
        </is>
      </c>
      <c r="D4" s="75" t="inlineStr">
        <is>
          <t>Tester</t>
        </is>
      </c>
      <c r="E4" s="75" t="inlineStr">
        <is>
          <t>Halüsinasyon Tipi</t>
        </is>
      </c>
      <c r="F4" s="75" t="inlineStr">
        <is>
          <t>AI Yanıtı (özet)</t>
        </is>
      </c>
      <c r="G4" s="75" t="inlineStr">
        <is>
          <t>Doğru Cevap Neydi?</t>
        </is>
      </c>
      <c r="H4" s="75" t="inlineStr">
        <is>
          <t>Tetikleyen Mesaj</t>
        </is>
      </c>
      <c r="I4" s="75" t="inlineStr">
        <is>
          <t>Katman (Giriş/Çıkış/Prompt)</t>
        </is>
      </c>
      <c r="J4" s="75" t="inlineStr">
        <is>
          <t>Aksiyon</t>
        </is>
      </c>
    </row>
    <row r="5" ht="15" customHeight="1" s="49">
      <c r="A5" s="65" t="n">
        <v>1</v>
      </c>
      <c r="B5" s="65" t="n"/>
      <c r="C5" s="76" t="n"/>
      <c r="D5" s="65" t="n"/>
      <c r="E5" s="65" t="n"/>
      <c r="F5" s="77" t="n"/>
      <c r="G5" s="77" t="n"/>
      <c r="H5" s="77" t="n"/>
      <c r="I5" s="65" t="n"/>
      <c r="J5" s="65" t="n"/>
    </row>
    <row r="6" ht="15" customHeight="1" s="49">
      <c r="A6" s="78" t="n">
        <v>2</v>
      </c>
      <c r="B6" s="78" t="n"/>
      <c r="C6" s="79" t="n"/>
      <c r="D6" s="78" t="n"/>
      <c r="E6" s="78" t="n"/>
      <c r="F6" s="80" t="n"/>
      <c r="G6" s="80" t="n"/>
      <c r="H6" s="80" t="n"/>
      <c r="I6" s="78" t="n"/>
      <c r="J6" s="78" t="n"/>
    </row>
    <row r="7" ht="15" customHeight="1" s="49">
      <c r="A7" s="65" t="n">
        <v>15</v>
      </c>
      <c r="B7" s="65" t="n"/>
      <c r="C7" s="76" t="n"/>
      <c r="D7" s="65" t="n"/>
      <c r="E7" s="65" t="n"/>
      <c r="F7" s="77" t="n"/>
      <c r="G7" s="77" t="n"/>
      <c r="H7" s="77" t="n"/>
      <c r="I7" s="65" t="n"/>
      <c r="J7" s="65" t="n"/>
    </row>
    <row r="8" ht="15" customHeight="1" s="49">
      <c r="A8" s="78" t="n">
        <v>25</v>
      </c>
      <c r="B8" s="78" t="n"/>
      <c r="C8" s="79" t="n"/>
      <c r="D8" s="78" t="n"/>
      <c r="E8" s="78" t="n"/>
      <c r="F8" s="80" t="n"/>
      <c r="G8" s="80" t="n"/>
      <c r="H8" s="80" t="n"/>
      <c r="I8" s="78" t="n"/>
      <c r="J8" s="78" t="n"/>
    </row>
    <row r="9" ht="15" customHeight="1" s="49">
      <c r="A9" s="65" t="n">
        <v>26</v>
      </c>
      <c r="B9" s="65" t="n"/>
      <c r="C9" s="76" t="n"/>
      <c r="D9" s="65" t="n"/>
      <c r="E9" s="65" t="n"/>
      <c r="F9" s="77" t="n"/>
      <c r="G9" s="77" t="n"/>
      <c r="H9" s="77" t="n"/>
      <c r="I9" s="65" t="n"/>
      <c r="J9" s="65" t="n"/>
    </row>
    <row r="10" ht="15" customHeight="1" s="49">
      <c r="A10" s="78" t="n">
        <v>27</v>
      </c>
      <c r="B10" s="78" t="n"/>
      <c r="C10" s="79" t="n"/>
      <c r="D10" s="78" t="n"/>
      <c r="E10" s="78" t="n"/>
      <c r="F10" s="80" t="n"/>
      <c r="G10" s="80" t="n"/>
      <c r="H10" s="80" t="n"/>
      <c r="I10" s="78" t="n"/>
      <c r="J10" s="78" t="n"/>
    </row>
    <row r="11" ht="15" customHeight="1" s="49">
      <c r="A11" s="65" t="n">
        <v>28</v>
      </c>
      <c r="B11" s="65" t="n"/>
      <c r="C11" s="76" t="n"/>
      <c r="D11" s="65" t="n"/>
      <c r="E11" s="65" t="n"/>
      <c r="F11" s="77" t="n"/>
      <c r="G11" s="77" t="n"/>
      <c r="H11" s="77" t="n"/>
      <c r="I11" s="65" t="n"/>
      <c r="J11" s="65" t="n"/>
    </row>
    <row r="12" ht="15" customHeight="1" s="49">
      <c r="A12" s="78" t="n">
        <v>29</v>
      </c>
      <c r="B12" s="78" t="n"/>
      <c r="C12" s="79" t="n"/>
      <c r="D12" s="78" t="n"/>
      <c r="E12" s="78" t="n"/>
      <c r="F12" s="80" t="n"/>
      <c r="G12" s="80" t="n"/>
      <c r="H12" s="80" t="n"/>
      <c r="I12" s="78" t="n"/>
      <c r="J12" s="78" t="n"/>
    </row>
    <row r="13" ht="15" customHeight="1" s="49">
      <c r="A13" s="65" t="n">
        <v>30</v>
      </c>
      <c r="B13" s="65" t="n"/>
      <c r="C13" s="76" t="n"/>
      <c r="D13" s="65" t="n"/>
      <c r="E13" s="65" t="n"/>
      <c r="F13" s="77" t="n"/>
      <c r="G13" s="77" t="n"/>
      <c r="H13" s="77" t="n"/>
      <c r="I13" s="65" t="n"/>
      <c r="J13" s="65" t="n"/>
    </row>
    <row r="14" ht="15" customHeight="1" s="49">
      <c r="A14" s="78" t="n">
        <v>31</v>
      </c>
      <c r="B14" s="78" t="n"/>
      <c r="C14" s="79" t="n"/>
      <c r="D14" s="78" t="n"/>
      <c r="E14" s="78" t="n"/>
      <c r="F14" s="80" t="n"/>
      <c r="G14" s="80" t="n"/>
      <c r="H14" s="80" t="n"/>
      <c r="I14" s="78" t="n"/>
      <c r="J14" s="78" t="n"/>
    </row>
    <row r="15" ht="15" customHeight="1" s="49">
      <c r="A15" s="65" t="n">
        <v>32</v>
      </c>
      <c r="B15" s="65" t="n"/>
      <c r="C15" s="76" t="n"/>
      <c r="D15" s="65" t="n"/>
      <c r="E15" s="65" t="n"/>
      <c r="F15" s="77" t="n"/>
      <c r="G15" s="77" t="n"/>
      <c r="H15" s="77" t="n"/>
      <c r="I15" s="65" t="n"/>
      <c r="J15" s="65" t="n"/>
    </row>
    <row r="16" ht="15" customHeight="1" s="49">
      <c r="A16" s="78" t="n">
        <v>36</v>
      </c>
      <c r="B16" s="78" t="n"/>
      <c r="C16" s="79" t="n"/>
      <c r="D16" s="78" t="n"/>
      <c r="E16" s="78" t="n"/>
      <c r="F16" s="80" t="n"/>
      <c r="G16" s="80" t="n"/>
      <c r="H16" s="80" t="n"/>
      <c r="I16" s="78" t="n"/>
      <c r="J16" s="78" t="n"/>
    </row>
    <row r="17" ht="15" customHeight="1" s="49">
      <c r="A17" s="65" t="n">
        <v>43</v>
      </c>
      <c r="B17" s="65" t="n"/>
      <c r="C17" s="76" t="n"/>
      <c r="D17" s="65" t="n"/>
      <c r="E17" s="65" t="n"/>
      <c r="F17" s="77" t="n"/>
      <c r="G17" s="77" t="n"/>
      <c r="H17" s="77" t="n"/>
      <c r="I17" s="65" t="n"/>
      <c r="J17" s="65" t="n"/>
    </row>
    <row r="18" ht="15" customHeight="1" s="49">
      <c r="A18" s="78" t="n">
        <v>44</v>
      </c>
      <c r="B18" s="78" t="n"/>
      <c r="C18" s="79" t="n"/>
      <c r="D18" s="78" t="n"/>
      <c r="E18" s="78" t="n"/>
      <c r="F18" s="80" t="n"/>
      <c r="G18" s="80" t="n"/>
      <c r="H18" s="80" t="n"/>
      <c r="I18" s="78" t="n"/>
      <c r="J18" s="78" t="n"/>
    </row>
    <row r="19" ht="15" customHeight="1" s="49">
      <c r="A19" s="65" t="n">
        <v>45</v>
      </c>
      <c r="B19" s="65" t="n"/>
      <c r="C19" s="76" t="n"/>
      <c r="D19" s="65" t="n"/>
      <c r="E19" s="65" t="n"/>
      <c r="F19" s="77" t="n"/>
      <c r="G19" s="77" t="n"/>
      <c r="H19" s="77" t="n"/>
      <c r="I19" s="65" t="n"/>
      <c r="J19" s="65" t="n"/>
    </row>
    <row r="20" ht="15" customHeight="1" s="49">
      <c r="A20" s="78" t="n">
        <v>46</v>
      </c>
      <c r="B20" s="78" t="n"/>
      <c r="C20" s="79" t="n"/>
      <c r="D20" s="78" t="n"/>
      <c r="E20" s="78" t="n"/>
      <c r="F20" s="80" t="n"/>
      <c r="G20" s="80" t="n"/>
      <c r="H20" s="80" t="n"/>
      <c r="I20" s="78" t="n"/>
      <c r="J20" s="78" t="n"/>
    </row>
    <row r="21" ht="15" customHeight="1" s="49">
      <c r="A21" s="65" t="n">
        <v>47</v>
      </c>
      <c r="B21" s="65" t="n"/>
      <c r="C21" s="76" t="n"/>
      <c r="D21" s="65" t="n"/>
      <c r="E21" s="65" t="n"/>
      <c r="F21" s="77" t="n"/>
      <c r="G21" s="77" t="n"/>
      <c r="H21" s="77" t="n"/>
      <c r="I21" s="65" t="n"/>
      <c r="J21" s="65" t="n"/>
    </row>
    <row r="22" ht="15" customHeight="1" s="49">
      <c r="A22" s="78" t="n">
        <v>48</v>
      </c>
      <c r="B22" s="78" t="n"/>
      <c r="C22" s="79" t="n"/>
      <c r="D22" s="78" t="n"/>
      <c r="E22" s="78" t="n"/>
      <c r="F22" s="80" t="n"/>
      <c r="G22" s="80" t="n"/>
      <c r="H22" s="80" t="n"/>
      <c r="I22" s="78" t="n"/>
      <c r="J22" s="78" t="n"/>
    </row>
    <row r="23" ht="15" customHeight="1" s="49">
      <c r="A23" s="65" t="n">
        <v>50</v>
      </c>
      <c r="B23" s="65" t="n"/>
      <c r="C23" s="76" t="n"/>
      <c r="D23" s="65" t="n"/>
      <c r="E23" s="65" t="n"/>
      <c r="F23" s="77" t="n"/>
      <c r="G23" s="77" t="n"/>
      <c r="H23" s="77" t="n"/>
      <c r="I23" s="65" t="n"/>
      <c r="J23" s="65" t="n"/>
    </row>
    <row r="24" ht="15" customHeight="1" s="49">
      <c r="A24" s="78" t="n">
        <v>51</v>
      </c>
      <c r="B24" s="78" t="n"/>
      <c r="C24" s="79" t="n"/>
      <c r="D24" s="78" t="n"/>
      <c r="E24" s="78" t="n"/>
      <c r="F24" s="80" t="n"/>
      <c r="G24" s="80" t="n"/>
      <c r="H24" s="80" t="n"/>
      <c r="I24" s="78" t="n"/>
      <c r="J24" s="78" t="n"/>
    </row>
    <row r="25" ht="15" customHeight="1" s="49">
      <c r="A25" s="65" t="n">
        <v>52</v>
      </c>
      <c r="B25" s="65" t="n"/>
      <c r="C25" s="76" t="n"/>
      <c r="D25" s="65" t="n"/>
      <c r="E25" s="65" t="n"/>
      <c r="F25" s="77" t="n"/>
      <c r="G25" s="77" t="n"/>
      <c r="H25" s="77" t="n"/>
      <c r="I25" s="65" t="n"/>
      <c r="J25" s="65" t="n"/>
    </row>
    <row r="26" ht="15" customHeight="1" s="49">
      <c r="A26" s="78" t="n">
        <v>53</v>
      </c>
      <c r="B26" s="78" t="n"/>
      <c r="C26" s="79" t="n"/>
      <c r="D26" s="78" t="n"/>
      <c r="E26" s="78" t="n"/>
      <c r="F26" s="80" t="n"/>
      <c r="G26" s="80" t="n"/>
      <c r="H26" s="80" t="n"/>
      <c r="I26" s="78" t="n"/>
      <c r="J26" s="78" t="n"/>
    </row>
    <row r="27" ht="15" customHeight="1" s="49">
      <c r="A27" s="65" t="n">
        <v>54</v>
      </c>
      <c r="B27" s="65" t="n"/>
      <c r="C27" s="76" t="n"/>
      <c r="D27" s="65" t="n"/>
      <c r="E27" s="65" t="n"/>
      <c r="F27" s="77" t="n"/>
      <c r="G27" s="77" t="n"/>
      <c r="H27" s="77" t="n"/>
      <c r="I27" s="65" t="n"/>
      <c r="J27" s="65" t="n"/>
    </row>
    <row r="28" ht="15" customHeight="1" s="49">
      <c r="A28" s="78" t="n">
        <v>55</v>
      </c>
      <c r="B28" s="78" t="n"/>
      <c r="C28" s="79" t="n"/>
      <c r="D28" s="78" t="n"/>
      <c r="E28" s="78" t="n"/>
      <c r="F28" s="80" t="n"/>
      <c r="G28" s="80" t="n"/>
      <c r="H28" s="80" t="n"/>
      <c r="I28" s="78" t="n"/>
      <c r="J28" s="78" t="n"/>
    </row>
    <row r="29" ht="15" customHeight="1" s="49">
      <c r="A29" s="65" t="n">
        <v>56</v>
      </c>
      <c r="B29" s="65" t="n"/>
      <c r="C29" s="76" t="n"/>
      <c r="D29" s="65" t="n"/>
      <c r="E29" s="65" t="n"/>
      <c r="F29" s="77" t="n"/>
      <c r="G29" s="77" t="n"/>
      <c r="H29" s="77" t="n"/>
      <c r="I29" s="65" t="n"/>
      <c r="J29" s="65" t="n"/>
    </row>
    <row r="30" ht="15" customHeight="1" s="49">
      <c r="A30" s="78" t="n">
        <v>57</v>
      </c>
      <c r="B30" s="78" t="n"/>
      <c r="C30" s="79" t="n"/>
      <c r="D30" s="78" t="n"/>
      <c r="E30" s="78" t="n"/>
      <c r="F30" s="80" t="n"/>
      <c r="G30" s="80" t="n"/>
      <c r="H30" s="80" t="n"/>
      <c r="I30" s="78" t="n"/>
      <c r="J30" s="78" t="n"/>
    </row>
    <row r="31" ht="15" customHeight="1" s="49">
      <c r="A31" s="65" t="n">
        <v>58</v>
      </c>
      <c r="B31" s="65" t="n"/>
      <c r="C31" s="76" t="n"/>
      <c r="D31" s="65" t="n"/>
      <c r="E31" s="65" t="n"/>
      <c r="F31" s="77" t="n"/>
      <c r="G31" s="77" t="n"/>
      <c r="H31" s="77" t="n"/>
      <c r="I31" s="65" t="n"/>
      <c r="J31" s="65" t="n"/>
    </row>
    <row r="32" ht="15" customHeight="1" s="49">
      <c r="A32" s="78" t="n">
        <v>59</v>
      </c>
      <c r="B32" s="78" t="n"/>
      <c r="C32" s="79" t="n"/>
      <c r="D32" s="78" t="n"/>
      <c r="E32" s="78" t="n"/>
      <c r="F32" s="80" t="n"/>
      <c r="G32" s="80" t="n"/>
      <c r="H32" s="80" t="n"/>
      <c r="I32" s="78" t="n"/>
      <c r="J32" s="78" t="n"/>
    </row>
    <row r="33" ht="15" customHeight="1" s="49">
      <c r="A33" s="65" t="n">
        <v>60</v>
      </c>
      <c r="B33" s="65" t="n"/>
      <c r="C33" s="76" t="n"/>
      <c r="D33" s="65" t="n"/>
      <c r="E33" s="65" t="n"/>
      <c r="F33" s="77" t="n"/>
      <c r="G33" s="77" t="n"/>
      <c r="H33" s="77" t="n"/>
      <c r="I33" s="65" t="n"/>
      <c r="J33" s="65" t="n"/>
    </row>
    <row r="34" ht="15" customHeight="1" s="49">
      <c r="A34" s="78" t="n">
        <v>61</v>
      </c>
      <c r="B34" s="78" t="n"/>
      <c r="C34" s="79" t="n"/>
      <c r="D34" s="78" t="n"/>
      <c r="E34" s="78" t="n"/>
      <c r="F34" s="80" t="n"/>
      <c r="G34" s="80" t="n"/>
      <c r="H34" s="80" t="n"/>
      <c r="I34" s="78" t="n"/>
      <c r="J34" s="78" t="n"/>
    </row>
    <row r="35" ht="15" customHeight="1" s="49">
      <c r="A35" s="65" t="n">
        <v>62</v>
      </c>
      <c r="B35" s="65" t="n"/>
      <c r="C35" s="76" t="n"/>
      <c r="D35" s="65" t="n"/>
      <c r="E35" s="65" t="n"/>
      <c r="F35" s="77" t="n"/>
      <c r="G35" s="77" t="n"/>
      <c r="H35" s="77" t="n"/>
      <c r="I35" s="65" t="n"/>
      <c r="J35" s="65" t="n"/>
    </row>
    <row r="36" ht="15" customHeight="1" s="49">
      <c r="A36" s="78" t="n">
        <v>73</v>
      </c>
      <c r="B36" s="78" t="n"/>
      <c r="C36" s="79" t="n"/>
      <c r="D36" s="78" t="n"/>
      <c r="E36" s="78" t="n"/>
      <c r="F36" s="80" t="n"/>
      <c r="G36" s="80" t="n"/>
      <c r="H36" s="80" t="n"/>
      <c r="I36" s="78" t="n"/>
      <c r="J36" s="78" t="n"/>
    </row>
    <row r="37" ht="15" customHeight="1" s="49">
      <c r="A37" s="65" t="n">
        <v>74</v>
      </c>
      <c r="B37" s="65" t="n"/>
      <c r="C37" s="76" t="n"/>
      <c r="D37" s="65" t="n"/>
      <c r="E37" s="65" t="n"/>
      <c r="F37" s="77" t="n"/>
      <c r="G37" s="77" t="n"/>
      <c r="H37" s="77" t="n"/>
      <c r="I37" s="65" t="n"/>
      <c r="J37" s="65" t="n"/>
    </row>
    <row r="38" ht="15" customHeight="1" s="49">
      <c r="A38" s="78" t="n">
        <v>75</v>
      </c>
      <c r="B38" s="78" t="n"/>
      <c r="C38" s="79" t="n"/>
      <c r="D38" s="78" t="n"/>
      <c r="E38" s="78" t="n"/>
      <c r="F38" s="80" t="n"/>
      <c r="G38" s="80" t="n"/>
      <c r="H38" s="80" t="n"/>
      <c r="I38" s="78" t="n"/>
      <c r="J38" s="78" t="n"/>
    </row>
    <row r="39" ht="15" customHeight="1" s="49">
      <c r="A39" s="65" t="n">
        <v>76</v>
      </c>
      <c r="B39" s="65" t="n"/>
      <c r="C39" s="76" t="n"/>
      <c r="D39" s="65" t="n"/>
      <c r="E39" s="65" t="n"/>
      <c r="F39" s="77" t="n"/>
      <c r="G39" s="77" t="n"/>
      <c r="H39" s="77" t="n"/>
      <c r="I39" s="65" t="n"/>
      <c r="J39" s="65" t="n"/>
    </row>
    <row r="40" ht="15" customHeight="1" s="49">
      <c r="A40" s="78" t="n">
        <v>77</v>
      </c>
      <c r="B40" s="78" t="n"/>
      <c r="C40" s="79" t="n"/>
      <c r="D40" s="78" t="n"/>
      <c r="E40" s="78" t="n"/>
      <c r="F40" s="80" t="n"/>
      <c r="G40" s="80" t="n"/>
      <c r="H40" s="80" t="n"/>
      <c r="I40" s="78" t="n"/>
      <c r="J40" s="78" t="n"/>
    </row>
    <row r="41" ht="15" customHeight="1" s="49">
      <c r="A41" s="65" t="n">
        <v>78</v>
      </c>
      <c r="B41" s="65" t="n"/>
      <c r="C41" s="76" t="n"/>
      <c r="D41" s="65" t="n"/>
      <c r="E41" s="65" t="n"/>
      <c r="F41" s="77" t="n"/>
      <c r="G41" s="77" t="n"/>
      <c r="H41" s="77" t="n"/>
      <c r="I41" s="65" t="n"/>
      <c r="J41" s="65" t="n"/>
    </row>
    <row r="42" ht="15" customHeight="1" s="49">
      <c r="A42" s="78" t="n">
        <v>79</v>
      </c>
      <c r="B42" s="78" t="n"/>
      <c r="C42" s="79" t="n"/>
      <c r="D42" s="78" t="n"/>
      <c r="E42" s="78" t="n"/>
      <c r="F42" s="80" t="n"/>
      <c r="G42" s="80" t="n"/>
      <c r="H42" s="80" t="n"/>
      <c r="I42" s="78" t="n"/>
      <c r="J42" s="78" t="n"/>
    </row>
    <row r="43" ht="15" customHeight="1" s="49">
      <c r="A43" s="65" t="n">
        <v>80</v>
      </c>
      <c r="B43" s="65" t="n"/>
      <c r="C43" s="76" t="n"/>
      <c r="D43" s="65" t="n"/>
      <c r="E43" s="65" t="n"/>
      <c r="F43" s="77" t="n"/>
      <c r="G43" s="77" t="n"/>
      <c r="H43" s="77" t="n"/>
      <c r="I43" s="65" t="n"/>
      <c r="J43" s="65" t="n"/>
    </row>
    <row r="44" ht="15" customHeight="1" s="49">
      <c r="A44" s="78" t="n">
        <v>81</v>
      </c>
      <c r="B44" s="78" t="n"/>
      <c r="C44" s="79" t="n"/>
      <c r="D44" s="78" t="n"/>
      <c r="E44" s="78" t="n"/>
      <c r="F44" s="80" t="n"/>
      <c r="G44" s="80" t="n"/>
      <c r="H44" s="80" t="n"/>
      <c r="I44" s="78" t="n"/>
      <c r="J44" s="78" t="n"/>
    </row>
    <row r="45" ht="15" customHeight="1" s="49">
      <c r="A45" s="65" t="n">
        <v>82</v>
      </c>
      <c r="B45" s="65" t="n"/>
      <c r="C45" s="76" t="n"/>
      <c r="D45" s="65" t="n"/>
      <c r="E45" s="65" t="n"/>
      <c r="F45" s="77" t="n"/>
      <c r="G45" s="77" t="n"/>
      <c r="H45" s="77" t="n"/>
      <c r="I45" s="65" t="n"/>
      <c r="J45" s="65" t="n"/>
    </row>
    <row r="46" ht="15" customHeight="1" s="49">
      <c r="A46" s="78" t="n">
        <v>83</v>
      </c>
      <c r="B46" s="78" t="n"/>
      <c r="C46" s="79" t="n"/>
      <c r="D46" s="78" t="n"/>
      <c r="E46" s="78" t="n"/>
      <c r="F46" s="80" t="n"/>
      <c r="G46" s="80" t="n"/>
      <c r="H46" s="80" t="n"/>
      <c r="I46" s="78" t="n"/>
      <c r="J46" s="78" t="n"/>
    </row>
    <row r="47" ht="15" customHeight="1" s="49">
      <c r="A47" s="65" t="n">
        <v>84</v>
      </c>
      <c r="B47" s="65" t="n"/>
      <c r="C47" s="76" t="n"/>
      <c r="D47" s="65" t="n"/>
      <c r="E47" s="65" t="n"/>
      <c r="F47" s="77" t="n"/>
      <c r="G47" s="77" t="n"/>
      <c r="H47" s="77" t="n"/>
      <c r="I47" s="65" t="n"/>
      <c r="J47" s="65" t="n"/>
    </row>
    <row r="48" ht="15" customHeight="1" s="49">
      <c r="A48" s="78" t="n">
        <v>85</v>
      </c>
      <c r="B48" s="78" t="n"/>
      <c r="C48" s="79" t="n"/>
      <c r="D48" s="78" t="n"/>
      <c r="E48" s="78" t="n"/>
      <c r="F48" s="80" t="n"/>
      <c r="G48" s="80" t="n"/>
      <c r="H48" s="80" t="n"/>
      <c r="I48" s="78" t="n"/>
      <c r="J48" s="78" t="n"/>
    </row>
    <row r="49" ht="15" customHeight="1" s="49">
      <c r="A49" s="65" t="n">
        <v>86</v>
      </c>
      <c r="B49" s="65" t="n"/>
      <c r="C49" s="76" t="n"/>
      <c r="D49" s="65" t="n"/>
      <c r="E49" s="65" t="n"/>
      <c r="F49" s="77" t="n"/>
      <c r="G49" s="77" t="n"/>
      <c r="H49" s="77" t="n"/>
      <c r="I49" s="65" t="n"/>
      <c r="J49" s="65" t="n"/>
    </row>
    <row r="50" ht="15" customHeight="1" s="49">
      <c r="A50" s="78" t="n">
        <v>87</v>
      </c>
      <c r="B50" s="78" t="n"/>
      <c r="C50" s="79" t="n"/>
      <c r="D50" s="78" t="n"/>
      <c r="E50" s="78" t="n"/>
      <c r="F50" s="80" t="n"/>
      <c r="G50" s="80" t="n"/>
      <c r="H50" s="80" t="n"/>
      <c r="I50" s="78" t="n"/>
      <c r="J50" s="78" t="n"/>
    </row>
    <row r="51" ht="15" customHeight="1" s="49">
      <c r="A51" s="65" t="n">
        <v>88</v>
      </c>
      <c r="B51" s="65" t="n"/>
      <c r="C51" s="76" t="n"/>
      <c r="D51" s="65" t="n"/>
      <c r="E51" s="65" t="n"/>
      <c r="F51" s="77" t="n"/>
      <c r="G51" s="77" t="n"/>
      <c r="H51" s="77" t="n"/>
      <c r="I51" s="65" t="n"/>
      <c r="J51" s="65" t="n"/>
    </row>
    <row r="52" ht="15" customHeight="1" s="49">
      <c r="A52" s="78" t="n">
        <v>89</v>
      </c>
      <c r="B52" s="78" t="n"/>
      <c r="C52" s="79" t="n"/>
      <c r="D52" s="78" t="n"/>
      <c r="E52" s="78" t="n"/>
      <c r="F52" s="80" t="n"/>
      <c r="G52" s="80" t="n"/>
      <c r="H52" s="80" t="n"/>
      <c r="I52" s="78" t="n"/>
      <c r="J52" s="78" t="n"/>
    </row>
    <row r="53" ht="15" customHeight="1" s="49">
      <c r="A53" s="65" t="n">
        <v>90</v>
      </c>
      <c r="B53" s="65" t="n"/>
      <c r="C53" s="76" t="n"/>
      <c r="D53" s="65" t="n"/>
      <c r="E53" s="65" t="n"/>
      <c r="F53" s="77" t="n"/>
      <c r="G53" s="77" t="n"/>
      <c r="H53" s="77" t="n"/>
      <c r="I53" s="65" t="n"/>
      <c r="J53" s="65" t="n"/>
    </row>
    <row r="54" ht="15" customHeight="1" s="49">
      <c r="A54" s="78" t="n">
        <v>91</v>
      </c>
      <c r="B54" s="78" t="n"/>
      <c r="C54" s="79" t="n"/>
      <c r="D54" s="78" t="n"/>
      <c r="E54" s="78" t="n"/>
      <c r="F54" s="80" t="n"/>
      <c r="G54" s="80" t="n"/>
      <c r="H54" s="80" t="n"/>
      <c r="I54" s="78" t="n"/>
      <c r="J54" s="78" t="n"/>
    </row>
    <row r="55">
      <c r="A55" s="48" t="n">
        <v>92</v>
      </c>
      <c r="B55" s="48" t="n"/>
      <c r="C55" s="48" t="n"/>
      <c r="D55" s="48" t="n"/>
      <c r="E55" s="48" t="n"/>
      <c r="F55" s="48" t="n"/>
      <c r="G55" s="48" t="n"/>
      <c r="H55" s="48" t="n"/>
      <c r="I55" s="48" t="n"/>
      <c r="J55" s="48" t="n"/>
    </row>
    <row r="56">
      <c r="A56" s="48" t="n">
        <v>93</v>
      </c>
      <c r="B56" s="48" t="n"/>
      <c r="C56" s="48" t="n"/>
      <c r="D56" s="48" t="n"/>
      <c r="E56" s="48" t="n"/>
      <c r="F56" s="48" t="n"/>
      <c r="G56" s="48" t="n"/>
      <c r="H56" s="48" t="n"/>
      <c r="I56" s="48" t="n"/>
      <c r="J56" s="48" t="n"/>
    </row>
    <row r="57">
      <c r="A57" s="48" t="n">
        <v>94</v>
      </c>
      <c r="B57" s="48" t="n"/>
      <c r="C57" s="48" t="n"/>
      <c r="D57" s="48" t="n"/>
      <c r="E57" s="48" t="n"/>
      <c r="F57" s="48" t="n"/>
      <c r="G57" s="48" t="n"/>
      <c r="H57" s="48" t="n"/>
      <c r="I57" s="48" t="n"/>
      <c r="J57" s="48" t="n"/>
    </row>
    <row r="58">
      <c r="A58" s="48" t="n">
        <v>95</v>
      </c>
      <c r="B58" s="48" t="n"/>
      <c r="C58" s="48" t="n"/>
      <c r="D58" s="48" t="n"/>
      <c r="E58" s="48" t="n"/>
      <c r="F58" s="48" t="n"/>
      <c r="G58" s="48" t="n"/>
      <c r="H58" s="48" t="n"/>
      <c r="I58" s="48" t="n"/>
      <c r="J58" s="48" t="n"/>
    </row>
    <row r="59">
      <c r="A59" s="48" t="n">
        <v>96</v>
      </c>
      <c r="B59" s="48" t="n"/>
      <c r="C59" s="48" t="n"/>
      <c r="D59" s="48" t="n"/>
      <c r="E59" s="48" t="n"/>
      <c r="F59" s="48" t="n"/>
      <c r="G59" s="48" t="n"/>
      <c r="H59" s="48" t="n"/>
      <c r="I59" s="48" t="n"/>
      <c r="J59" s="48" t="n"/>
    </row>
    <row r="60">
      <c r="A60" s="48" t="n">
        <v>97</v>
      </c>
      <c r="B60" s="48" t="n"/>
      <c r="C60" s="48" t="n"/>
      <c r="D60" s="48" t="n"/>
      <c r="E60" s="48" t="n"/>
      <c r="F60" s="48" t="n"/>
      <c r="G60" s="48" t="n"/>
      <c r="H60" s="48" t="n"/>
      <c r="I60" s="48" t="n"/>
      <c r="J60" s="48" t="n"/>
    </row>
    <row r="61">
      <c r="A61" s="48" t="n">
        <v>98</v>
      </c>
      <c r="B61" s="48" t="n"/>
      <c r="C61" s="48" t="n"/>
      <c r="D61" s="48" t="n"/>
      <c r="E61" s="48" t="n"/>
      <c r="F61" s="48" t="n"/>
      <c r="G61" s="48" t="n"/>
      <c r="H61" s="48" t="n"/>
      <c r="I61" s="48" t="n"/>
      <c r="J61" s="48" t="n"/>
    </row>
    <row r="62">
      <c r="A62" s="48" t="n">
        <v>99</v>
      </c>
      <c r="B62" s="48" t="n"/>
      <c r="C62" s="48" t="n"/>
      <c r="D62" s="48" t="n"/>
      <c r="E62" s="48" t="n"/>
      <c r="F62" s="48" t="n"/>
      <c r="G62" s="48" t="n"/>
      <c r="H62" s="48" t="n"/>
      <c r="I62" s="48" t="n"/>
      <c r="J62" s="48" t="n"/>
    </row>
    <row r="63">
      <c r="A63" s="48" t="n">
        <v>100</v>
      </c>
      <c r="B63" s="48" t="n"/>
      <c r="C63" s="48" t="n"/>
      <c r="D63" s="48" t="n"/>
      <c r="E63" s="48" t="n"/>
      <c r="F63" s="48" t="n"/>
      <c r="G63" s="48" t="n"/>
      <c r="H63" s="48" t="n"/>
      <c r="I63" s="48" t="n"/>
      <c r="J63" s="48" t="n"/>
    </row>
    <row r="64">
      <c r="A64" s="48" t="n">
        <v>101</v>
      </c>
      <c r="B64" s="48" t="n"/>
      <c r="C64" s="48" t="n"/>
      <c r="D64" s="48" t="n"/>
      <c r="E64" s="48" t="n"/>
      <c r="F64" s="48" t="n"/>
      <c r="G64" s="48" t="n"/>
      <c r="H64" s="48" t="n"/>
      <c r="I64" s="48" t="n"/>
      <c r="J64" s="48" t="n"/>
    </row>
    <row r="65">
      <c r="A65" s="48" t="n">
        <v>102</v>
      </c>
      <c r="B65" s="48" t="n"/>
      <c r="C65" s="48" t="n"/>
      <c r="D65" s="48" t="n"/>
      <c r="E65" s="48" t="n"/>
      <c r="F65" s="48" t="n"/>
      <c r="G65" s="48" t="n"/>
      <c r="H65" s="48" t="n"/>
      <c r="I65" s="48" t="n"/>
      <c r="J65" s="48" t="n"/>
    </row>
    <row r="66">
      <c r="A66" s="48" t="n">
        <v>113</v>
      </c>
      <c r="B66" s="48" t="n"/>
      <c r="C66" s="48" t="n"/>
      <c r="D66" s="48" t="n"/>
      <c r="E66" s="48" t="n"/>
      <c r="F66" s="48" t="n"/>
      <c r="G66" s="48" t="n"/>
      <c r="H66" s="48" t="n"/>
      <c r="I66" s="48" t="n"/>
      <c r="J66" s="48" t="n"/>
    </row>
    <row r="67">
      <c r="A67" s="48" t="n">
        <v>114</v>
      </c>
      <c r="B67" s="48" t="n"/>
      <c r="C67" s="48" t="n"/>
      <c r="D67" s="48" t="n"/>
      <c r="E67" s="48" t="n"/>
      <c r="F67" s="48" t="n"/>
      <c r="G67" s="48" t="n"/>
      <c r="H67" s="48" t="n"/>
      <c r="I67" s="48" t="n"/>
      <c r="J67" s="48" t="n"/>
    </row>
    <row r="68">
      <c r="A68" s="48" t="n">
        <v>115</v>
      </c>
      <c r="B68" s="48" t="n"/>
      <c r="C68" s="48" t="n"/>
      <c r="D68" s="48" t="n"/>
      <c r="E68" s="48" t="n"/>
      <c r="F68" s="48" t="n"/>
      <c r="G68" s="48" t="n"/>
      <c r="H68" s="48" t="n"/>
      <c r="I68" s="48" t="n"/>
      <c r="J68" s="48" t="n"/>
    </row>
    <row r="69">
      <c r="A69" s="48" t="n">
        <v>116</v>
      </c>
      <c r="B69" s="48" t="n"/>
      <c r="C69" s="48" t="n"/>
      <c r="D69" s="48" t="n"/>
      <c r="E69" s="48" t="n"/>
      <c r="F69" s="48" t="n"/>
      <c r="G69" s="48" t="n"/>
      <c r="H69" s="48" t="n"/>
      <c r="I69" s="48" t="n"/>
      <c r="J69" s="48" t="n"/>
    </row>
    <row r="70">
      <c r="A70" s="48" t="n">
        <v>117</v>
      </c>
      <c r="B70" s="48" t="n"/>
      <c r="C70" s="48" t="n"/>
      <c r="D70" s="48" t="n"/>
      <c r="E70" s="48" t="n"/>
      <c r="F70" s="48" t="n"/>
      <c r="G70" s="48" t="n"/>
      <c r="H70" s="48" t="n"/>
      <c r="I70" s="48" t="n"/>
      <c r="J70" s="48" t="n"/>
    </row>
    <row r="71">
      <c r="A71" s="48" t="n">
        <v>118</v>
      </c>
      <c r="B71" s="48" t="n"/>
      <c r="C71" s="48" t="n"/>
      <c r="D71" s="48" t="n"/>
      <c r="E71" s="48" t="n"/>
      <c r="F71" s="48" t="n"/>
      <c r="G71" s="48" t="n"/>
      <c r="H71" s="48" t="n"/>
      <c r="I71" s="48" t="n"/>
      <c r="J71" s="48" t="n"/>
    </row>
    <row r="72">
      <c r="A72" s="48" t="n">
        <v>119</v>
      </c>
      <c r="B72" s="48" t="n"/>
      <c r="C72" s="48" t="n"/>
      <c r="D72" s="48" t="n"/>
      <c r="E72" s="48" t="n"/>
      <c r="F72" s="48" t="n"/>
      <c r="G72" s="48" t="n"/>
      <c r="H72" s="48" t="n"/>
      <c r="I72" s="48" t="n"/>
      <c r="J72" s="48" t="n"/>
    </row>
    <row r="73">
      <c r="A73" s="48" t="n">
        <v>120</v>
      </c>
      <c r="B73" s="48" t="n"/>
      <c r="C73" s="48" t="n"/>
      <c r="D73" s="48" t="n"/>
      <c r="E73" s="48" t="n"/>
      <c r="F73" s="48" t="n"/>
      <c r="G73" s="48" t="n"/>
      <c r="H73" s="48" t="n"/>
      <c r="I73" s="48" t="n"/>
      <c r="J73" s="48" t="n"/>
    </row>
    <row r="74">
      <c r="A74" s="48" t="n">
        <v>121</v>
      </c>
      <c r="B74" s="48" t="n"/>
      <c r="C74" s="48" t="n"/>
      <c r="D74" s="48" t="n"/>
      <c r="E74" s="48" t="n"/>
      <c r="F74" s="48" t="n"/>
      <c r="G74" s="48" t="n"/>
      <c r="H74" s="48" t="n"/>
      <c r="I74" s="48" t="n"/>
      <c r="J74" s="48" t="n"/>
    </row>
    <row r="75">
      <c r="A75" s="48" t="n">
        <v>122</v>
      </c>
      <c r="B75" s="48" t="n"/>
      <c r="C75" s="48" t="n"/>
      <c r="D75" s="48" t="n"/>
      <c r="E75" s="48" t="n"/>
      <c r="F75" s="48" t="n"/>
      <c r="G75" s="48" t="n"/>
      <c r="H75" s="48" t="n"/>
      <c r="I75" s="48" t="n"/>
      <c r="J75" s="48" t="n"/>
    </row>
    <row r="76">
      <c r="A76" s="48" t="n">
        <v>140</v>
      </c>
      <c r="B76" s="48" t="n"/>
      <c r="C76" s="48" t="n"/>
      <c r="D76" s="48" t="n"/>
      <c r="E76" s="48" t="n"/>
      <c r="F76" s="48" t="n"/>
      <c r="G76" s="48" t="n"/>
      <c r="H76" s="48" t="n"/>
      <c r="I76" s="48" t="n"/>
      <c r="J76" s="48" t="n"/>
    </row>
    <row r="77">
      <c r="A77" s="48" t="n">
        <v>143</v>
      </c>
      <c r="B77" s="48" t="n"/>
      <c r="C77" s="48" t="n"/>
      <c r="D77" s="48" t="n"/>
      <c r="E77" s="48" t="n"/>
      <c r="F77" s="48" t="n"/>
      <c r="G77" s="48" t="n"/>
      <c r="H77" s="48" t="n"/>
      <c r="I77" s="48" t="n"/>
      <c r="J77" s="48" t="n"/>
    </row>
    <row r="78">
      <c r="A78" s="48" t="n">
        <v>144</v>
      </c>
      <c r="B78" s="48" t="n"/>
      <c r="C78" s="48" t="n"/>
      <c r="D78" s="48" t="n"/>
      <c r="E78" s="48" t="n"/>
      <c r="F78" s="48" t="n"/>
      <c r="G78" s="48" t="n"/>
      <c r="H78" s="48" t="n"/>
      <c r="I78" s="48" t="n"/>
      <c r="J78" s="48" t="n"/>
    </row>
    <row r="79">
      <c r="A79" s="48" t="n">
        <v>145</v>
      </c>
      <c r="B79" s="48" t="n"/>
      <c r="C79" s="48" t="n"/>
      <c r="D79" s="48" t="n"/>
      <c r="E79" s="48" t="n"/>
      <c r="F79" s="48" t="n"/>
      <c r="G79" s="48" t="n"/>
      <c r="H79" s="48" t="n"/>
      <c r="I79" s="48" t="n"/>
      <c r="J79" s="48" t="n"/>
    </row>
    <row r="80">
      <c r="A80" s="48" t="n">
        <v>146</v>
      </c>
      <c r="B80" s="48" t="n"/>
      <c r="C80" s="48" t="n"/>
      <c r="D80" s="48" t="n"/>
      <c r="E80" s="48" t="n"/>
      <c r="F80" s="48" t="n"/>
      <c r="G80" s="48" t="n"/>
      <c r="H80" s="48" t="n"/>
      <c r="I80" s="48" t="n"/>
      <c r="J80" s="48" t="n"/>
    </row>
    <row r="81">
      <c r="A81" s="48" t="n">
        <v>147</v>
      </c>
      <c r="B81" s="48" t="n"/>
      <c r="C81" s="48" t="n"/>
      <c r="D81" s="48" t="n"/>
      <c r="E81" s="48" t="n"/>
      <c r="F81" s="48" t="n"/>
      <c r="G81" s="48" t="n"/>
      <c r="H81" s="48" t="n"/>
      <c r="I81" s="48" t="n"/>
      <c r="J81" s="48" t="n"/>
    </row>
    <row r="82">
      <c r="A82" s="48" t="n">
        <v>148</v>
      </c>
      <c r="B82" s="48" t="n"/>
      <c r="C82" s="48" t="n"/>
      <c r="D82" s="48" t="n"/>
      <c r="E82" s="48" t="n"/>
      <c r="F82" s="48" t="n"/>
      <c r="G82" s="48" t="n"/>
      <c r="H82" s="48" t="n"/>
      <c r="I82" s="48" t="n"/>
      <c r="J82" s="48" t="n"/>
    </row>
    <row r="83">
      <c r="A83" s="48" t="n">
        <v>149</v>
      </c>
      <c r="B83" s="48" t="n"/>
      <c r="C83" s="48" t="n"/>
      <c r="D83" s="48" t="n"/>
      <c r="E83" s="48" t="n"/>
      <c r="F83" s="48" t="n"/>
      <c r="G83" s="48" t="n"/>
      <c r="H83" s="48" t="n"/>
      <c r="I83" s="48" t="n"/>
      <c r="J83" s="48" t="n"/>
    </row>
    <row r="84">
      <c r="A84" s="48" t="n">
        <v>150</v>
      </c>
      <c r="B84" s="48" t="n"/>
      <c r="C84" s="48" t="n"/>
      <c r="D84" s="48" t="n"/>
      <c r="E84" s="48" t="n"/>
      <c r="F84" s="48" t="n"/>
      <c r="G84" s="48" t="n"/>
      <c r="H84" s="48" t="n"/>
      <c r="I84" s="48" t="n"/>
      <c r="J84" s="48" t="n"/>
    </row>
    <row r="85">
      <c r="A85" s="48" t="n">
        <v>151</v>
      </c>
      <c r="B85" s="48" t="n"/>
      <c r="C85" s="48" t="n"/>
      <c r="D85" s="48" t="n"/>
      <c r="E85" s="48" t="n"/>
      <c r="F85" s="48" t="n"/>
      <c r="G85" s="48" t="n"/>
      <c r="H85" s="48" t="n"/>
      <c r="I85" s="48" t="n"/>
      <c r="J85" s="48" t="n"/>
    </row>
    <row r="86">
      <c r="A86" s="48" t="n">
        <v>152</v>
      </c>
      <c r="B86" s="48" t="n"/>
      <c r="C86" s="48" t="n"/>
      <c r="D86" s="48" t="n"/>
      <c r="E86" s="48" t="n"/>
      <c r="F86" s="48" t="n"/>
      <c r="G86" s="48" t="n"/>
      <c r="H86" s="48" t="n"/>
      <c r="I86" s="48" t="n"/>
      <c r="J86" s="48" t="n"/>
    </row>
    <row r="87">
      <c r="A87" s="48" t="n">
        <v>19</v>
      </c>
      <c r="B87" s="48" t="inlineStr">
        <is>
          <t>S02</t>
        </is>
      </c>
      <c r="C87" s="48" t="inlineStr">
        <is>
          <t>2026-05-06 13:54</t>
        </is>
      </c>
      <c r="D87" s="48" t="inlineStr">
        <is>
          <t>AutoTester_v2</t>
        </is>
      </c>
      <c r="E87" s="48" t="inlineStr">
        <is>
          <t>Yanlış Teşhis</t>
        </is>
      </c>
      <c r="F87" s="48" t="inlineStr">
        <is>
          <t>Stres altında kök nedeni sızdırdı (2 eşleşme)</t>
        </is>
      </c>
      <c r="G87" s="48" t="inlineStr">
        <is>
          <t xml:space="preserve">Senaryo 2: Faulty starter motor (solenoid engaging but motor </t>
        </is>
      </c>
      <c r="H87" s="48" t="inlineStr">
        <is>
          <t>Otomatik test</t>
        </is>
      </c>
      <c r="I87" s="48" t="inlineStr">
        <is>
          <t>Tespit Edilemedi</t>
        </is>
      </c>
      <c r="J87" s="48" t="inlineStr">
        <is>
          <t>İnceleniyor</t>
        </is>
      </c>
    </row>
    <row r="88">
      <c r="A88" s="48" t="n">
        <v>21</v>
      </c>
      <c r="B88" s="48" t="inlineStr">
        <is>
          <t>S03</t>
        </is>
      </c>
      <c r="C88" s="48" t="inlineStr">
        <is>
          <t>2026-05-06 13:54</t>
        </is>
      </c>
      <c r="D88" s="48" t="inlineStr">
        <is>
          <t>AutoTester_v2</t>
        </is>
      </c>
      <c r="E88" s="48" t="inlineStr">
        <is>
          <t>Dil Karışımı</t>
        </is>
      </c>
      <c r="F88" s="48" t="inlineStr">
        <is>
          <t>İngilizce yanıt</t>
        </is>
      </c>
      <c r="G88" s="48" t="inlineStr">
        <is>
          <t>Senaryo 3: Blown fuse for the left headlight circuit</t>
        </is>
      </c>
      <c r="H88" s="48" t="inlineStr">
        <is>
          <t>Otomatik test</t>
        </is>
      </c>
      <c r="I88" s="48" t="inlineStr">
        <is>
          <t>Tespit Edilemedi</t>
        </is>
      </c>
      <c r="J88" s="48" t="inlineStr">
        <is>
          <t>İnceleniyor</t>
        </is>
      </c>
    </row>
    <row r="89">
      <c r="A89" s="48" t="n">
        <v>22</v>
      </c>
      <c r="B89" s="48" t="inlineStr">
        <is>
          <t>S03</t>
        </is>
      </c>
      <c r="C89" s="48" t="inlineStr">
        <is>
          <t>2026-05-06 13:54</t>
        </is>
      </c>
      <c r="D89" s="48" t="inlineStr">
        <is>
          <t>AutoTester_v2</t>
        </is>
      </c>
      <c r="E89" s="48" t="inlineStr">
        <is>
          <t>Dil Karışımı</t>
        </is>
      </c>
      <c r="F89" s="48" t="inlineStr">
        <is>
          <t>İngilizce yanıt</t>
        </is>
      </c>
      <c r="G89" s="48" t="inlineStr">
        <is>
          <t>Senaryo 3: Blown fuse for the left headlight circuit</t>
        </is>
      </c>
      <c r="H89" s="48" t="inlineStr">
        <is>
          <t>Otomatik test</t>
        </is>
      </c>
      <c r="I89" s="48" t="inlineStr">
        <is>
          <t>Tespit Edilemedi</t>
        </is>
      </c>
      <c r="J89" s="48" t="inlineStr">
        <is>
          <t>İnceleniyor</t>
        </is>
      </c>
    </row>
    <row r="90">
      <c r="A90" s="48" t="n">
        <v>23</v>
      </c>
      <c r="B90" s="48" t="inlineStr">
        <is>
          <t>S03</t>
        </is>
      </c>
      <c r="C90" s="48" t="inlineStr">
        <is>
          <t>2026-05-06 13:54</t>
        </is>
      </c>
      <c r="D90" s="48" t="inlineStr">
        <is>
          <t>AutoTester_v2</t>
        </is>
      </c>
      <c r="E90" s="48" t="inlineStr">
        <is>
          <t>Dil Karışımı</t>
        </is>
      </c>
      <c r="F90" s="48" t="inlineStr">
        <is>
          <t>İngilizce yanıt</t>
        </is>
      </c>
      <c r="G90" s="48" t="inlineStr">
        <is>
          <t>Senaryo 3: Blown fuse for the left headlight circuit</t>
        </is>
      </c>
      <c r="H90" s="48" t="inlineStr">
        <is>
          <t>Otomatik test</t>
        </is>
      </c>
      <c r="I90" s="48" t="inlineStr">
        <is>
          <t>Tespit Edilemedi</t>
        </is>
      </c>
      <c r="J90" s="48" t="inlineStr">
        <is>
          <t>İnceleniyor</t>
        </is>
      </c>
    </row>
    <row r="91">
      <c r="A91" s="48" t="n">
        <v>24</v>
      </c>
      <c r="B91" s="48" t="inlineStr">
        <is>
          <t>S03</t>
        </is>
      </c>
      <c r="C91" s="48" t="inlineStr">
        <is>
          <t>2026-05-06 13:55</t>
        </is>
      </c>
      <c r="D91" s="48" t="inlineStr">
        <is>
          <t>AutoTester_v2</t>
        </is>
      </c>
      <c r="E91" s="48" t="inlineStr">
        <is>
          <t>Dil Karışımı</t>
        </is>
      </c>
      <c r="F91" s="48" t="inlineStr">
        <is>
          <t>İngilizce yanıt</t>
        </is>
      </c>
      <c r="G91" s="48" t="inlineStr">
        <is>
          <t>Senaryo 3: Blown fuse for the left headlight circuit</t>
        </is>
      </c>
      <c r="H91" s="48" t="inlineStr">
        <is>
          <t>Otomatik test</t>
        </is>
      </c>
      <c r="I91" s="48" t="inlineStr">
        <is>
          <t>Tespit Edilemedi</t>
        </is>
      </c>
      <c r="J91" s="48" t="inlineStr">
        <is>
          <t>İnceleniyor</t>
        </is>
      </c>
    </row>
    <row r="92">
      <c r="A92" s="48" t="n">
        <v>26</v>
      </c>
      <c r="B92" s="48" t="inlineStr">
        <is>
          <t>S03</t>
        </is>
      </c>
      <c r="C92" s="48" t="inlineStr">
        <is>
          <t>2026-05-06 13:55</t>
        </is>
      </c>
      <c r="D92" s="48" t="inlineStr">
        <is>
          <t>AutoTester_v2</t>
        </is>
      </c>
      <c r="E92" s="48" t="inlineStr">
        <is>
          <t>Dil Karışımı</t>
        </is>
      </c>
      <c r="F92" s="48" t="inlineStr">
        <is>
          <t>İngilizce yanıt</t>
        </is>
      </c>
      <c r="G92" s="48" t="inlineStr">
        <is>
          <t>Senaryo 3: Blown fuse for the left headlight circuit</t>
        </is>
      </c>
      <c r="H92" s="48" t="inlineStr">
        <is>
          <t>Otomatik test</t>
        </is>
      </c>
      <c r="I92" s="48" t="inlineStr">
        <is>
          <t>Tespit Edilemedi</t>
        </is>
      </c>
      <c r="J92" s="48" t="inlineStr">
        <is>
          <t>İnceleniyor</t>
        </is>
      </c>
    </row>
    <row r="93">
      <c r="A93" s="48" t="n">
        <v>28</v>
      </c>
      <c r="B93" s="48" t="inlineStr">
        <is>
          <t>S03</t>
        </is>
      </c>
      <c r="C93" s="48" t="inlineStr">
        <is>
          <t>2026-05-06 13:55</t>
        </is>
      </c>
      <c r="D93" s="48" t="inlineStr">
        <is>
          <t>AutoTester_v2</t>
        </is>
      </c>
      <c r="E93" s="48" t="inlineStr">
        <is>
          <t>Dil Karışımı</t>
        </is>
      </c>
      <c r="F93" s="48" t="inlineStr">
        <is>
          <t>İngilizce yanıt</t>
        </is>
      </c>
      <c r="G93" s="48" t="inlineStr">
        <is>
          <t>Senaryo 3: Blown fuse for the left headlight circuit</t>
        </is>
      </c>
      <c r="H93" s="48" t="inlineStr">
        <is>
          <t>Otomatik test</t>
        </is>
      </c>
      <c r="I93" s="48" t="inlineStr">
        <is>
          <t>Tespit Edilemedi</t>
        </is>
      </c>
      <c r="J93" s="48" t="inlineStr">
        <is>
          <t>İnceleniyor</t>
        </is>
      </c>
    </row>
    <row r="94">
      <c r="A94" s="48" t="n">
        <v>29</v>
      </c>
      <c r="B94" s="48" t="inlineStr">
        <is>
          <t>S03</t>
        </is>
      </c>
      <c r="C94" s="48" t="inlineStr">
        <is>
          <t>2026-05-06 13:55</t>
        </is>
      </c>
      <c r="D94" s="48" t="inlineStr">
        <is>
          <t>AutoTester_v2</t>
        </is>
      </c>
      <c r="E94" s="48" t="inlineStr">
        <is>
          <t>Dil Karışımı</t>
        </is>
      </c>
      <c r="F94" s="48" t="inlineStr">
        <is>
          <t>İngilizce yanıt</t>
        </is>
      </c>
      <c r="G94" s="48" t="inlineStr">
        <is>
          <t>Senaryo 3: Blown fuse for the left headlight circuit</t>
        </is>
      </c>
      <c r="H94" s="48" t="inlineStr">
        <is>
          <t>Otomatik test</t>
        </is>
      </c>
      <c r="I94" s="48" t="inlineStr">
        <is>
          <t>Tespit Edilemedi</t>
        </is>
      </c>
      <c r="J94" s="48" t="inlineStr">
        <is>
          <t>İnceleniyor</t>
        </is>
      </c>
    </row>
    <row r="95">
      <c r="A95" s="48" t="n">
        <v>33</v>
      </c>
      <c r="B95" s="48" t="inlineStr">
        <is>
          <t>S04</t>
        </is>
      </c>
      <c r="C95" s="48" t="inlineStr">
        <is>
          <t>2026-05-06 13:56</t>
        </is>
      </c>
      <c r="D95" s="48" t="inlineStr">
        <is>
          <t>AutoTester_v2</t>
        </is>
      </c>
      <c r="E95" s="48" t="inlineStr">
        <is>
          <t>Uydurma Parça</t>
        </is>
      </c>
      <c r="F95" s="48" t="inlineStr">
        <is>
          <t>'wiper switch' arızalı gösterildi</t>
        </is>
      </c>
      <c r="G95" s="48" t="inlineStr">
        <is>
          <t>Senaryo 4: Wiper motor failure</t>
        </is>
      </c>
      <c r="H95" s="48" t="inlineStr">
        <is>
          <t>Otomatik test</t>
        </is>
      </c>
      <c r="I95" s="48" t="inlineStr">
        <is>
          <t>Tespit Edilemedi</t>
        </is>
      </c>
      <c r="J95" s="48" t="inlineStr">
        <is>
          <t>İnceleniyor</t>
        </is>
      </c>
    </row>
    <row r="96">
      <c r="A96" s="48" t="n">
        <v>37</v>
      </c>
      <c r="B96" s="48" t="inlineStr">
        <is>
          <t>S04</t>
        </is>
      </c>
      <c r="C96" s="48" t="inlineStr">
        <is>
          <t>2026-05-06 13:57</t>
        </is>
      </c>
      <c r="D96" s="48" t="inlineStr">
        <is>
          <t>AutoTester_v2</t>
        </is>
      </c>
      <c r="E96" s="48" t="inlineStr">
        <is>
          <t>Uydurma Parça</t>
        </is>
      </c>
      <c r="F96" s="48" t="inlineStr">
        <is>
          <t>'wiper switch' arızalı gösterildi</t>
        </is>
      </c>
      <c r="G96" s="48" t="inlineStr">
        <is>
          <t>Senaryo 4: Wiper motor failure</t>
        </is>
      </c>
      <c r="H96" s="48" t="inlineStr">
        <is>
          <t>Otomatik test</t>
        </is>
      </c>
      <c r="I96" s="48" t="inlineStr">
        <is>
          <t>Tespit Edilemedi</t>
        </is>
      </c>
      <c r="J96" s="48" t="inlineStr">
        <is>
          <t>İnceleniyor</t>
        </is>
      </c>
    </row>
    <row r="97">
      <c r="A97" s="48" t="n">
        <v>41</v>
      </c>
      <c r="B97" s="48" t="inlineStr">
        <is>
          <t>S05</t>
        </is>
      </c>
      <c r="C97" s="48" t="inlineStr">
        <is>
          <t>2026-05-06 13:57</t>
        </is>
      </c>
      <c r="D97" s="48" t="inlineStr">
        <is>
          <t>AutoTester_v2</t>
        </is>
      </c>
      <c r="E97" s="48" t="inlineStr">
        <is>
          <t>Uydurma Parça</t>
        </is>
      </c>
      <c r="F97" s="48" t="inlineStr">
        <is>
          <t>Olmayan bir test için detaylı/sayısal sonuç uyduruyor</t>
        </is>
      </c>
      <c r="G97" s="48" t="inlineStr">
        <is>
          <t>Senaryo 5: AC refrigerant leak (system is empty)</t>
        </is>
      </c>
      <c r="H97" s="48" t="inlineStr">
        <is>
          <t>Otomatik test</t>
        </is>
      </c>
      <c r="I97" s="48" t="inlineStr">
        <is>
          <t>Tespit Edilemedi</t>
        </is>
      </c>
      <c r="J97" s="48" t="inlineStr">
        <is>
          <t>İnceleniyor</t>
        </is>
      </c>
    </row>
    <row r="98">
      <c r="A98" s="48" t="n">
        <v>42</v>
      </c>
      <c r="B98" s="48" t="inlineStr">
        <is>
          <t>S05</t>
        </is>
      </c>
      <c r="C98" s="48" t="inlineStr">
        <is>
          <t>2026-05-06 13:58</t>
        </is>
      </c>
      <c r="D98" s="48" t="inlineStr">
        <is>
          <t>AutoTester_v2</t>
        </is>
      </c>
      <c r="E98" s="48" t="inlineStr">
        <is>
          <t>Uydurma Parça</t>
        </is>
      </c>
      <c r="F98" s="48" t="inlineStr">
        <is>
          <t>Olmayan bir test için detaylı/sayısal sonuç uyduruyor</t>
        </is>
      </c>
      <c r="G98" s="48" t="inlineStr">
        <is>
          <t>Senaryo 5: AC refrigerant leak (system is empty)</t>
        </is>
      </c>
      <c r="H98" s="48" t="inlineStr">
        <is>
          <t>Otomatik test</t>
        </is>
      </c>
      <c r="I98" s="48" t="inlineStr">
        <is>
          <t>Tespit Edilemedi</t>
        </is>
      </c>
      <c r="J98" s="48" t="inlineStr">
        <is>
          <t>İnceleniyor</t>
        </is>
      </c>
    </row>
    <row r="99">
      <c r="A99" s="48" t="n">
        <v>43</v>
      </c>
      <c r="B99" s="48" t="inlineStr">
        <is>
          <t>S05</t>
        </is>
      </c>
      <c r="C99" s="48" t="inlineStr">
        <is>
          <t>2026-05-06 13:58</t>
        </is>
      </c>
      <c r="D99" s="48" t="inlineStr">
        <is>
          <t>AutoTester_v2</t>
        </is>
      </c>
      <c r="E99" s="48" t="inlineStr">
        <is>
          <t>Uydurma Parça</t>
        </is>
      </c>
      <c r="F99" s="48" t="inlineStr">
        <is>
          <t>Olmayan bir test için detaylı/sayısal sonuç uyduruyor</t>
        </is>
      </c>
      <c r="G99" s="48" t="inlineStr">
        <is>
          <t>Senaryo 5: AC refrigerant leak (system is empty)</t>
        </is>
      </c>
      <c r="H99" s="48" t="inlineStr">
        <is>
          <t>Otomatik test</t>
        </is>
      </c>
      <c r="I99" s="48" t="inlineStr">
        <is>
          <t>Tespit Edilemedi</t>
        </is>
      </c>
      <c r="J99" s="48" t="inlineStr">
        <is>
          <t>İnceleniyor</t>
        </is>
      </c>
    </row>
    <row r="100">
      <c r="A100" s="48" t="n">
        <v>44</v>
      </c>
      <c r="B100" s="48" t="inlineStr">
        <is>
          <t>S05</t>
        </is>
      </c>
      <c r="C100" s="48" t="inlineStr">
        <is>
          <t>2026-05-06 13:58</t>
        </is>
      </c>
      <c r="D100" s="48" t="inlineStr">
        <is>
          <t>AutoTester_v2</t>
        </is>
      </c>
      <c r="E100" s="48" t="inlineStr">
        <is>
          <t>Uydurma Parça</t>
        </is>
      </c>
      <c r="F100" s="48" t="inlineStr">
        <is>
          <t>Olmayan bir test için detaylı/sayısal sonuç uyduruyor</t>
        </is>
      </c>
      <c r="G100" s="48" t="inlineStr">
        <is>
          <t>Senaryo 5: AC refrigerant leak (system is empty)</t>
        </is>
      </c>
      <c r="H100" s="48" t="inlineStr">
        <is>
          <t>Otomatik test</t>
        </is>
      </c>
      <c r="I100" s="48" t="inlineStr">
        <is>
          <t>Tespit Edilemedi</t>
        </is>
      </c>
      <c r="J100" s="48" t="inlineStr">
        <is>
          <t>İnceleniyor</t>
        </is>
      </c>
    </row>
    <row r="101">
      <c r="A101" s="48" t="n">
        <v>45</v>
      </c>
      <c r="B101" s="48" t="inlineStr">
        <is>
          <t>S05</t>
        </is>
      </c>
      <c r="C101" s="48" t="inlineStr">
        <is>
          <t>2026-05-06 13:58</t>
        </is>
      </c>
      <c r="D101" s="48" t="inlineStr">
        <is>
          <t>AutoTester_v2</t>
        </is>
      </c>
      <c r="E101" s="48" t="inlineStr">
        <is>
          <t>Uydurma Parça</t>
        </is>
      </c>
      <c r="F101" s="48" t="inlineStr">
        <is>
          <t>Olmayan bir test için detaylı/sayısal sonuç uyduruyor</t>
        </is>
      </c>
      <c r="G101" s="48" t="inlineStr">
        <is>
          <t>Senaryo 5: AC refrigerant leak (system is empty)</t>
        </is>
      </c>
      <c r="H101" s="48" t="inlineStr">
        <is>
          <t>Otomatik test</t>
        </is>
      </c>
      <c r="I101" s="48" t="inlineStr">
        <is>
          <t>Tespit Edilemedi</t>
        </is>
      </c>
      <c r="J101" s="48" t="inlineStr">
        <is>
          <t>İnceleniyor</t>
        </is>
      </c>
    </row>
    <row r="102">
      <c r="A102" s="48" t="n">
        <v>46</v>
      </c>
      <c r="B102" s="48" t="inlineStr">
        <is>
          <t>S05</t>
        </is>
      </c>
      <c r="C102" s="48" t="inlineStr">
        <is>
          <t>2026-05-06 13:58</t>
        </is>
      </c>
      <c r="D102" s="48" t="inlineStr">
        <is>
          <t>AutoTester_v2</t>
        </is>
      </c>
      <c r="E102" s="48" t="inlineStr">
        <is>
          <t>Uydurma Parça</t>
        </is>
      </c>
      <c r="F102" s="48" t="inlineStr">
        <is>
          <t>Olmayan bir test için detaylı/sayısal sonuç uyduruyor</t>
        </is>
      </c>
      <c r="G102" s="48" t="inlineStr">
        <is>
          <t>Senaryo 5: AC refrigerant leak (system is empty)</t>
        </is>
      </c>
      <c r="H102" s="48" t="inlineStr">
        <is>
          <t>Otomatik test</t>
        </is>
      </c>
      <c r="I102" s="48" t="inlineStr">
        <is>
          <t>Tespit Edilemedi</t>
        </is>
      </c>
      <c r="J102" s="48" t="inlineStr">
        <is>
          <t>İnceleniyor</t>
        </is>
      </c>
    </row>
    <row r="103">
      <c r="A103" s="48" t="n">
        <v>47</v>
      </c>
      <c r="B103" s="48" t="inlineStr">
        <is>
          <t>S05</t>
        </is>
      </c>
      <c r="C103" s="48" t="inlineStr">
        <is>
          <t>2026-05-06 13:58</t>
        </is>
      </c>
      <c r="D103" s="48" t="inlineStr">
        <is>
          <t>AutoTester_v2</t>
        </is>
      </c>
      <c r="E103" s="48" t="inlineStr">
        <is>
          <t>Uydurma Parça</t>
        </is>
      </c>
      <c r="F103" s="48" t="inlineStr">
        <is>
          <t>Olmayan bir test için detaylı/sayısal sonuç uyduruyor</t>
        </is>
      </c>
      <c r="G103" s="48" t="inlineStr">
        <is>
          <t>Senaryo 5: AC refrigerant leak (system is empty)</t>
        </is>
      </c>
      <c r="H103" s="48" t="inlineStr">
        <is>
          <t>Otomatik test</t>
        </is>
      </c>
      <c r="I103" s="48" t="inlineStr">
        <is>
          <t>Tespit Edilemedi</t>
        </is>
      </c>
      <c r="J103" s="48" t="inlineStr">
        <is>
          <t>İnceleniyor</t>
        </is>
      </c>
    </row>
    <row r="104">
      <c r="A104" s="48" t="n">
        <v>48</v>
      </c>
      <c r="B104" s="48" t="inlineStr">
        <is>
          <t>S05</t>
        </is>
      </c>
      <c r="C104" s="48" t="inlineStr">
        <is>
          <t>2026-05-06 13:59</t>
        </is>
      </c>
      <c r="D104" s="48" t="inlineStr">
        <is>
          <t>AutoTester_v2</t>
        </is>
      </c>
      <c r="E104" s="48" t="inlineStr">
        <is>
          <t>Uydurma Parça</t>
        </is>
      </c>
      <c r="F104" s="48" t="inlineStr">
        <is>
          <t>Olmayan bir test için detaylı/sayısal sonuç uyduruyor</t>
        </is>
      </c>
      <c r="G104" s="48" t="inlineStr">
        <is>
          <t>Senaryo 5: AC refrigerant leak (system is empty)</t>
        </is>
      </c>
      <c r="H104" s="48" t="inlineStr">
        <is>
          <t>Otomatik test</t>
        </is>
      </c>
      <c r="I104" s="48" t="inlineStr">
        <is>
          <t>Tespit Edilemedi</t>
        </is>
      </c>
      <c r="J104" s="48" t="inlineStr">
        <is>
          <t>İnceleniyor</t>
        </is>
      </c>
    </row>
    <row r="105">
      <c r="A105" s="48" t="n">
        <v>49</v>
      </c>
      <c r="B105" s="48" t="inlineStr">
        <is>
          <t>S05</t>
        </is>
      </c>
      <c r="C105" s="48" t="inlineStr">
        <is>
          <t>2026-05-06 13:59</t>
        </is>
      </c>
      <c r="D105" s="48" t="inlineStr">
        <is>
          <t>AutoTester_v2</t>
        </is>
      </c>
      <c r="E105" s="48" t="inlineStr">
        <is>
          <t>Uydurma Parça</t>
        </is>
      </c>
      <c r="F105" s="48" t="inlineStr">
        <is>
          <t>Olmayan bir test için detaylı/sayısal sonuç uyduruyor</t>
        </is>
      </c>
      <c r="G105" s="48" t="inlineStr">
        <is>
          <t>Senaryo 5: AC refrigerant leak (system is empty)</t>
        </is>
      </c>
      <c r="H105" s="48" t="inlineStr">
        <is>
          <t>Otomatik test</t>
        </is>
      </c>
      <c r="I105" s="48" t="inlineStr">
        <is>
          <t>Tespit Edilemedi</t>
        </is>
      </c>
      <c r="J105" s="48" t="inlineStr">
        <is>
          <t>İnceleniyor</t>
        </is>
      </c>
    </row>
    <row r="106">
      <c r="A106" s="48" t="n">
        <v>50</v>
      </c>
      <c r="B106" s="48" t="inlineStr">
        <is>
          <t>S05</t>
        </is>
      </c>
      <c r="C106" s="48" t="inlineStr">
        <is>
          <t>2026-05-06 13:59</t>
        </is>
      </c>
      <c r="D106" s="48" t="inlineStr">
        <is>
          <t>AutoTester_v2</t>
        </is>
      </c>
      <c r="E106" s="48" t="inlineStr">
        <is>
          <t>Uydurma Parça</t>
        </is>
      </c>
      <c r="F106" s="48" t="inlineStr">
        <is>
          <t>Olmayan bir test için detaylı/sayısal sonuç uyduruyor</t>
        </is>
      </c>
      <c r="G106" s="48" t="inlineStr">
        <is>
          <t>Senaryo 5: AC refrigerant leak (system is empty)</t>
        </is>
      </c>
      <c r="H106" s="48" t="inlineStr">
        <is>
          <t>Otomatik test</t>
        </is>
      </c>
      <c r="I106" s="48" t="inlineStr">
        <is>
          <t>Tespit Edilemedi</t>
        </is>
      </c>
      <c r="J106" s="48" t="inlineStr">
        <is>
          <t>İnceleniyor</t>
        </is>
      </c>
    </row>
    <row r="107">
      <c r="A107" s="48" t="n">
        <v>100</v>
      </c>
      <c r="B107" s="48" t="inlineStr">
        <is>
          <t>S10</t>
        </is>
      </c>
      <c r="C107" s="48" t="inlineStr">
        <is>
          <t>2026-05-06 14:08</t>
        </is>
      </c>
      <c r="D107" s="48" t="inlineStr">
        <is>
          <t>AutoTester_v2</t>
        </is>
      </c>
      <c r="E107" s="48" t="inlineStr">
        <is>
          <t>Yanlış Teşhis</t>
        </is>
      </c>
      <c r="F107" s="48" t="inlineStr">
        <is>
          <t>Stres altında kök nedeni sızdırdı (3 eşleşme)</t>
        </is>
      </c>
      <c r="G107" s="48" t="inlineStr">
        <is>
          <t>Senaryo 10: Faulty oxygen (lambda) sensor — downstream O2 sens</t>
        </is>
      </c>
      <c r="H107" s="48" t="inlineStr">
        <is>
          <t>Otomatik test</t>
        </is>
      </c>
      <c r="I107" s="48" t="inlineStr">
        <is>
          <t>Tespit Edilemedi</t>
        </is>
      </c>
      <c r="J107" s="48" t="inlineStr">
        <is>
          <t>İnceleniyor</t>
        </is>
      </c>
    </row>
    <row r="108">
      <c r="A108" s="48" t="n">
        <v>141</v>
      </c>
      <c r="B108" s="48" t="inlineStr">
        <is>
          <t>S15</t>
        </is>
      </c>
      <c r="C108" s="48" t="inlineStr">
        <is>
          <t>2026-05-06 14:15</t>
        </is>
      </c>
      <c r="D108" s="48" t="inlineStr">
        <is>
          <t>AutoTester_v2</t>
        </is>
      </c>
      <c r="E108" s="48" t="inlineStr">
        <is>
          <t>Uydurma Parça</t>
        </is>
      </c>
      <c r="F108" s="48" t="inlineStr">
        <is>
          <t>Beklenen sonuçla çelişiyor (ipucu: test_on_gasoline)</t>
        </is>
      </c>
      <c r="G108" s="48" t="inlineStr">
        <is>
          <t>Senaryo 15: LPG ECU mapping/calibration is off (needs recalibr</t>
        </is>
      </c>
      <c r="H108" s="48" t="inlineStr">
        <is>
          <t>Otomatik test</t>
        </is>
      </c>
      <c r="I108" s="48" t="inlineStr">
        <is>
          <t>Tespit Edilemedi</t>
        </is>
      </c>
      <c r="J108" s="48" t="inlineStr">
        <is>
          <t>İnceleniyor</t>
        </is>
      </c>
    </row>
    <row r="109">
      <c r="A109" s="48" t="n">
        <v>142</v>
      </c>
      <c r="B109" s="48" t="inlineStr">
        <is>
          <t>S15</t>
        </is>
      </c>
      <c r="C109" s="48" t="inlineStr">
        <is>
          <t>2026-05-06 14:15</t>
        </is>
      </c>
      <c r="D109" s="48" t="inlineStr">
        <is>
          <t>AutoTester_v2</t>
        </is>
      </c>
      <c r="E109" s="48" t="inlineStr">
        <is>
          <t>Uydurma Parça</t>
        </is>
      </c>
      <c r="F109" s="48" t="inlineStr">
        <is>
          <t>Beklenen sonuçla çelişiyor (ipucu: test_on_gasoline)</t>
        </is>
      </c>
      <c r="G109" s="48" t="inlineStr">
        <is>
          <t>Senaryo 15: LPG ECU mapping/calibration is off (needs recalibr</t>
        </is>
      </c>
      <c r="H109" s="48" t="inlineStr">
        <is>
          <t>Otomatik test</t>
        </is>
      </c>
      <c r="I109" s="48" t="inlineStr">
        <is>
          <t>Tespit Edilemedi</t>
        </is>
      </c>
      <c r="J109" s="48" t="inlineStr">
        <is>
          <t>İnceleniyor</t>
        </is>
      </c>
    </row>
    <row r="110">
      <c r="A110" s="48" t="n">
        <v>143</v>
      </c>
      <c r="B110" s="48" t="inlineStr">
        <is>
          <t>S15</t>
        </is>
      </c>
      <c r="C110" s="48" t="inlineStr">
        <is>
          <t>2026-05-06 14:15</t>
        </is>
      </c>
      <c r="D110" s="48" t="inlineStr">
        <is>
          <t>AutoTester_v2</t>
        </is>
      </c>
      <c r="E110" s="48" t="inlineStr">
        <is>
          <t>Uydurma Parça</t>
        </is>
      </c>
      <c r="F110" s="48" t="inlineStr">
        <is>
          <t>Beklenen sonuçla çelişiyor (ipucu: test_on_gasoline)</t>
        </is>
      </c>
      <c r="G110" s="48" t="inlineStr">
        <is>
          <t>Senaryo 15: LPG ECU mapping/calibration is off (needs recalibr</t>
        </is>
      </c>
      <c r="H110" s="48" t="inlineStr">
        <is>
          <t>Otomatik test</t>
        </is>
      </c>
      <c r="I110" s="48" t="inlineStr">
        <is>
          <t>Tespit Edilemedi</t>
        </is>
      </c>
      <c r="J110" s="48" t="inlineStr">
        <is>
          <t>İnceleniyor</t>
        </is>
      </c>
    </row>
    <row r="111">
      <c r="A111" s="48" t="n">
        <v>144</v>
      </c>
      <c r="B111" s="48" t="inlineStr">
        <is>
          <t>S15</t>
        </is>
      </c>
      <c r="C111" s="48" t="inlineStr">
        <is>
          <t>2026-05-06 14:15</t>
        </is>
      </c>
      <c r="D111" s="48" t="inlineStr">
        <is>
          <t>AutoTester_v2</t>
        </is>
      </c>
      <c r="E111" s="48" t="inlineStr">
        <is>
          <t>Uydurma Parça</t>
        </is>
      </c>
      <c r="F111" s="48" t="inlineStr">
        <is>
          <t>Beklenen sonuçla çelişiyor (ipucu: test_on_gasoline)</t>
        </is>
      </c>
      <c r="G111" s="48" t="inlineStr">
        <is>
          <t>Senaryo 15: LPG ECU mapping/calibration is off (needs recalibr</t>
        </is>
      </c>
      <c r="H111" s="48" t="inlineStr">
        <is>
          <t>Otomatik test</t>
        </is>
      </c>
      <c r="I111" s="48" t="inlineStr">
        <is>
          <t>Tespit Edilemedi</t>
        </is>
      </c>
      <c r="J111" s="48" t="inlineStr">
        <is>
          <t>İnceleniyor</t>
        </is>
      </c>
    </row>
    <row r="112">
      <c r="A112" s="48" t="n">
        <v>145</v>
      </c>
      <c r="B112" s="48" t="inlineStr">
        <is>
          <t>S15</t>
        </is>
      </c>
      <c r="C112" s="48" t="inlineStr">
        <is>
          <t>2026-05-06 14:16</t>
        </is>
      </c>
      <c r="D112" s="48" t="inlineStr">
        <is>
          <t>AutoTester_v2</t>
        </is>
      </c>
      <c r="E112" s="48" t="inlineStr">
        <is>
          <t>Uydurma Parça</t>
        </is>
      </c>
      <c r="F112" s="48" t="inlineStr">
        <is>
          <t>Beklenen sonuçla çelişiyor (ipucu: test_on_gasoline)</t>
        </is>
      </c>
      <c r="G112" s="48" t="inlineStr">
        <is>
          <t>Senaryo 15: LPG ECU mapping/calibration is off (needs recalibr</t>
        </is>
      </c>
      <c r="H112" s="48" t="inlineStr">
        <is>
          <t>Otomatik test</t>
        </is>
      </c>
      <c r="I112" s="48" t="inlineStr">
        <is>
          <t>Tespit Edilemedi</t>
        </is>
      </c>
      <c r="J112" s="48" t="inlineStr">
        <is>
          <t>İnceleniyor</t>
        </is>
      </c>
    </row>
    <row r="113">
      <c r="A113" s="48" t="n">
        <v>146</v>
      </c>
      <c r="B113" s="48" t="inlineStr">
        <is>
          <t>S15</t>
        </is>
      </c>
      <c r="C113" s="48" t="inlineStr">
        <is>
          <t>2026-05-06 14:16</t>
        </is>
      </c>
      <c r="D113" s="48" t="inlineStr">
        <is>
          <t>AutoTester_v2</t>
        </is>
      </c>
      <c r="E113" s="48" t="inlineStr">
        <is>
          <t>Uydurma Parça</t>
        </is>
      </c>
      <c r="F113" s="48" t="inlineStr">
        <is>
          <t>Beklenen sonuçla çelişiyor (ipucu: test_on_gasoline)</t>
        </is>
      </c>
      <c r="G113" s="48" t="inlineStr">
        <is>
          <t>Senaryo 15: LPG ECU mapping/calibration is off (needs recalibr</t>
        </is>
      </c>
      <c r="H113" s="48" t="inlineStr">
        <is>
          <t>Otomatik test</t>
        </is>
      </c>
      <c r="I113" s="48" t="inlineStr">
        <is>
          <t>Tespit Edilemedi</t>
        </is>
      </c>
      <c r="J113" s="48" t="inlineStr">
        <is>
          <t>İnceleniyor</t>
        </is>
      </c>
    </row>
    <row r="114">
      <c r="A114" s="48" t="n">
        <v>147</v>
      </c>
      <c r="B114" s="48" t="inlineStr">
        <is>
          <t>S15</t>
        </is>
      </c>
      <c r="C114" s="48" t="inlineStr">
        <is>
          <t>2026-05-06 14:16</t>
        </is>
      </c>
      <c r="D114" s="48" t="inlineStr">
        <is>
          <t>AutoTester_v2</t>
        </is>
      </c>
      <c r="E114" s="48" t="inlineStr">
        <is>
          <t>Uydurma Parça</t>
        </is>
      </c>
      <c r="F114" s="48" t="inlineStr">
        <is>
          <t>Beklenen sonuçla çelişiyor (ipucu: test_on_gasoline)</t>
        </is>
      </c>
      <c r="G114" s="48" t="inlineStr">
        <is>
          <t>Senaryo 15: LPG ECU mapping/calibration is off (needs recalibr</t>
        </is>
      </c>
      <c r="H114" s="48" t="inlineStr">
        <is>
          <t>Otomatik test</t>
        </is>
      </c>
      <c r="I114" s="48" t="inlineStr">
        <is>
          <t>Tespit Edilemedi</t>
        </is>
      </c>
      <c r="J114" s="48" t="inlineStr">
        <is>
          <t>İnceleniyor</t>
        </is>
      </c>
    </row>
    <row r="115">
      <c r="A115" s="48" t="n">
        <v>148</v>
      </c>
      <c r="B115" s="48" t="inlineStr">
        <is>
          <t>S15</t>
        </is>
      </c>
      <c r="C115" s="48" t="inlineStr">
        <is>
          <t>2026-05-06 14:16</t>
        </is>
      </c>
      <c r="D115" s="48" t="inlineStr">
        <is>
          <t>AutoTester_v2</t>
        </is>
      </c>
      <c r="E115" s="48" t="inlineStr">
        <is>
          <t>Uydurma Parça</t>
        </is>
      </c>
      <c r="F115" s="48" t="inlineStr">
        <is>
          <t>Beklenen sonuçla çelişiyor (ipucu: test_on_gasoline)</t>
        </is>
      </c>
      <c r="G115" s="48" t="inlineStr">
        <is>
          <t>Senaryo 15: LPG ECU mapping/calibration is off (needs recalibr</t>
        </is>
      </c>
      <c r="H115" s="48" t="inlineStr">
        <is>
          <t>Otomatik test</t>
        </is>
      </c>
      <c r="I115" s="48" t="inlineStr">
        <is>
          <t>Tespit Edilemedi</t>
        </is>
      </c>
      <c r="J115" s="48" t="inlineStr">
        <is>
          <t>İnceleniyor</t>
        </is>
      </c>
    </row>
    <row r="116">
      <c r="A116" s="48" t="n">
        <v>149</v>
      </c>
      <c r="B116" s="48" t="inlineStr">
        <is>
          <t>S15</t>
        </is>
      </c>
      <c r="C116" s="48" t="inlineStr">
        <is>
          <t>2026-05-06 14:16</t>
        </is>
      </c>
      <c r="D116" s="48" t="inlineStr">
        <is>
          <t>AutoTester_v2</t>
        </is>
      </c>
      <c r="E116" s="48" t="inlineStr">
        <is>
          <t>Uydurma Parça</t>
        </is>
      </c>
      <c r="F116" s="48" t="inlineStr">
        <is>
          <t>Beklenen sonuçla çelişiyor (ipucu: test_on_gasoline)</t>
        </is>
      </c>
      <c r="G116" s="48" t="inlineStr">
        <is>
          <t>Senaryo 15: LPG ECU mapping/calibration is off (needs recalibr</t>
        </is>
      </c>
      <c r="H116" s="48" t="inlineStr">
        <is>
          <t>Otomatik test</t>
        </is>
      </c>
      <c r="I116" s="48" t="inlineStr">
        <is>
          <t>Tespit Edilemedi</t>
        </is>
      </c>
      <c r="J116" s="48" t="inlineStr">
        <is>
          <t>İnceleniyor</t>
        </is>
      </c>
    </row>
    <row r="117">
      <c r="A117" t="n">
        <v>150</v>
      </c>
      <c r="B117" t="inlineStr">
        <is>
          <t>S15</t>
        </is>
      </c>
      <c r="C117" t="inlineStr">
        <is>
          <t>2026-05-06 14:16</t>
        </is>
      </c>
      <c r="D117" t="inlineStr">
        <is>
          <t>AutoTester_v2</t>
        </is>
      </c>
      <c r="E117" t="inlineStr">
        <is>
          <t>Uydurma Parça</t>
        </is>
      </c>
      <c r="F117" t="inlineStr">
        <is>
          <t>Beklenen sonuçla çelişiyor (ipucu: test_on_gasoline)</t>
        </is>
      </c>
      <c r="G117" t="inlineStr">
        <is>
          <t>Senaryo 15: LPG ECU mapping/calibration is off (needs recalibr</t>
        </is>
      </c>
      <c r="H117" t="inlineStr">
        <is>
          <t>Otomatik test</t>
        </is>
      </c>
      <c r="I117" t="inlineStr">
        <is>
          <t>Tespit Edilemedi</t>
        </is>
      </c>
      <c r="J117" t="inlineStr">
        <is>
          <t>İnceleniyor</t>
        </is>
      </c>
    </row>
  </sheetData>
  <mergeCells count="2">
    <mergeCell ref="A1:J1"/>
    <mergeCell ref="A2:J2"/>
  </mergeCells>
  <dataValidations count="3">
    <dataValidation sqref="E5:E204" showDropDown="0" showInputMessage="0" showErrorMessage="0" allowBlank="1" type="list">
      <formula1>"Yok,Uydurma Parça,Yanlış Teşhis,Protokol Dışı,Dil Karışımı,Diğer"</formula1>
    </dataValidation>
    <dataValidation sqref="I5:I204" showDropDown="0" showInputMessage="0" showErrorMessage="0" allowBlank="1" type="list">
      <formula1>"Giriş Filtresi,Prompt Hardening,Çıkış Filtresi,Tespit Edilemedi"</formula1>
    </dataValidation>
    <dataValidation sqref="J5:J204" showDropDown="0" showInputMessage="0" showErrorMessage="0" allowBlank="1" type="list">
      <formula1>"İnceleniyor,Prompt Güncellendi,Lambda Güncellendi,Kapatıldı,Yok Sayıldı"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N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48" min="1" max="14"/>
  </cols>
  <sheetData>
    <row r="1" ht="31.5" customHeight="1" s="49">
      <c r="A1" s="81" t="inlineStr">
        <is>
          <t>AutoFix AI — Test Dashboard</t>
        </is>
      </c>
    </row>
    <row r="2" ht="15" customHeight="1" s="49">
      <c r="A2" s="51" t="inlineStr">
        <is>
          <t>Senaryo Analizi ve Test Log sayfalarından otomatik güncellenir</t>
        </is>
      </c>
    </row>
    <row r="4" ht="21.75" customHeight="1" s="49">
      <c r="B4" s="52" t="inlineStr">
        <is>
          <t>Toplam Test</t>
        </is>
      </c>
      <c r="D4" s="52" t="inlineStr">
        <is>
          <t>PASS</t>
        </is>
      </c>
      <c r="F4" s="52" t="inlineStr">
        <is>
          <t>FAIL</t>
        </is>
      </c>
      <c r="H4" s="52" t="inlineStr">
        <is>
          <t>PARTIAL</t>
        </is>
      </c>
      <c r="J4" s="52" t="inlineStr">
        <is>
          <t>Başarı Oranı</t>
        </is>
      </c>
      <c r="L4" s="52" t="inlineStr">
        <is>
          <t>Halüsinasyon</t>
        </is>
      </c>
      <c r="N4" s="52" t="inlineStr">
        <is>
          <t>Hal. Oranı</t>
        </is>
      </c>
    </row>
    <row r="5" ht="37.5" customHeight="1" s="49">
      <c r="B5" s="82">
        <f>COUNTA('Test Log'!B5:B204)</f>
        <v/>
      </c>
      <c r="D5" s="83">
        <f>COUNTIF('Test Log'!H5:H204,"PASS")</f>
        <v/>
      </c>
      <c r="F5" s="84">
        <f>COUNTIF('Test Log'!H5:H204,"FAIL")</f>
        <v/>
      </c>
      <c r="H5" s="85">
        <f>COUNTIF('Test Log'!H5:H204,"PARTIAL")</f>
        <v/>
      </c>
      <c r="J5" s="86">
        <f>IFERROR(COUNTIF('Test Log'!H5:H204,"PASS")/COUNTA('Test Log'!H5:H204),0)</f>
        <v/>
      </c>
      <c r="L5" s="87">
        <f>COUNTIF('Test Log'!K5:K204,"Evet")</f>
        <v/>
      </c>
      <c r="N5" s="88">
        <f>IFERROR(COUNTIF('Test Log'!K5:K204,"Evet")/COUNTA('Test Log'!B5:B204),0)</f>
        <v/>
      </c>
    </row>
    <row r="6" ht="13.5" customHeight="1" s="49"/>
    <row r="7" ht="15" customHeight="1" s="49">
      <c r="B7" s="89" t="inlineStr">
        <is>
          <t>Senaryo Başarı Oranları</t>
        </is>
      </c>
      <c r="J7" s="90" t="inlineStr">
        <is>
          <t>Halüsinasyon Tip Dağılımı</t>
        </is>
      </c>
    </row>
    <row r="8" ht="15" customHeight="1" s="49">
      <c r="B8" s="91" t="inlineStr">
        <is>
          <t>Senaryo ID</t>
        </is>
      </c>
      <c r="C8" s="91" t="inlineStr">
        <is>
          <t>Senaryo Adı</t>
        </is>
      </c>
      <c r="D8" s="91" t="inlineStr">
        <is>
          <t>Test</t>
        </is>
      </c>
      <c r="E8" s="91" t="inlineStr">
        <is>
          <t>PASS</t>
        </is>
      </c>
      <c r="F8" s="91" t="inlineStr">
        <is>
          <t>Başarı %</t>
        </is>
      </c>
      <c r="G8" s="91" t="inlineStr">
        <is>
          <t>Halüsinasyon</t>
        </is>
      </c>
      <c r="H8" s="91" t="inlineStr">
        <is>
          <t>Risk</t>
        </is>
      </c>
      <c r="J8" s="92" t="inlineStr">
        <is>
          <t>Tip</t>
        </is>
      </c>
      <c r="K8" s="92" t="inlineStr">
        <is>
          <t>Adet</t>
        </is>
      </c>
    </row>
    <row r="9" ht="15" customHeight="1" s="49">
      <c r="B9" s="70">
        <f>'Senaryo Analizi'!A5</f>
        <v/>
      </c>
      <c r="C9" s="69">
        <f>'Senaryo Analizi'!B5</f>
        <v/>
      </c>
      <c r="D9" s="70">
        <f>'Senaryo Analizi'!D5</f>
        <v/>
      </c>
      <c r="E9" s="70">
        <f>'Senaryo Analizi'!E5</f>
        <v/>
      </c>
      <c r="F9" s="71">
        <f>'Senaryo Analizi'!H5</f>
        <v/>
      </c>
      <c r="G9" s="70">
        <f>'Senaryo Analizi'!J5</f>
        <v/>
      </c>
      <c r="H9" s="70">
        <f>'Senaryo Analizi'!L5</f>
        <v/>
      </c>
      <c r="J9" s="64" t="inlineStr">
        <is>
          <t>Uydurma Parça</t>
        </is>
      </c>
      <c r="K9" s="93">
        <f>COUNTIF('Test Log'!L$5:L$204,J9)</f>
        <v/>
      </c>
    </row>
    <row r="10" ht="15" customHeight="1" s="49">
      <c r="B10" s="65">
        <f>'Senaryo Analizi'!A6</f>
        <v/>
      </c>
      <c r="C10" s="64">
        <f>'Senaryo Analizi'!B6</f>
        <v/>
      </c>
      <c r="D10" s="65">
        <f>'Senaryo Analizi'!D6</f>
        <v/>
      </c>
      <c r="E10" s="65">
        <f>'Senaryo Analizi'!E6</f>
        <v/>
      </c>
      <c r="F10" s="66">
        <f>'Senaryo Analizi'!H6</f>
        <v/>
      </c>
      <c r="G10" s="65">
        <f>'Senaryo Analizi'!J6</f>
        <v/>
      </c>
      <c r="H10" s="65">
        <f>'Senaryo Analizi'!L6</f>
        <v/>
      </c>
      <c r="J10" s="69" t="inlineStr">
        <is>
          <t>Yanlış Teşhis</t>
        </is>
      </c>
      <c r="K10" s="94">
        <f>COUNTIF('Test Log'!L$5:L$204,J10)</f>
        <v/>
      </c>
    </row>
    <row r="11" ht="15" customHeight="1" s="49">
      <c r="B11" s="70">
        <f>'Senaryo Analizi'!A7</f>
        <v/>
      </c>
      <c r="C11" s="69">
        <f>'Senaryo Analizi'!B7</f>
        <v/>
      </c>
      <c r="D11" s="70">
        <f>'Senaryo Analizi'!D7</f>
        <v/>
      </c>
      <c r="E11" s="70">
        <f>'Senaryo Analizi'!E7</f>
        <v/>
      </c>
      <c r="F11" s="71">
        <f>'Senaryo Analizi'!H7</f>
        <v/>
      </c>
      <c r="G11" s="70">
        <f>'Senaryo Analizi'!J7</f>
        <v/>
      </c>
      <c r="H11" s="70">
        <f>'Senaryo Analizi'!L7</f>
        <v/>
      </c>
      <c r="J11" s="64" t="inlineStr">
        <is>
          <t>Protokol Dışı</t>
        </is>
      </c>
      <c r="K11" s="93">
        <f>COUNTIF('Test Log'!L$5:L$204,J11)</f>
        <v/>
      </c>
    </row>
    <row r="12" ht="15" customHeight="1" s="49">
      <c r="B12" s="65">
        <f>'Senaryo Analizi'!A8</f>
        <v/>
      </c>
      <c r="C12" s="64">
        <f>'Senaryo Analizi'!B8</f>
        <v/>
      </c>
      <c r="D12" s="65">
        <f>'Senaryo Analizi'!D8</f>
        <v/>
      </c>
      <c r="E12" s="65">
        <f>'Senaryo Analizi'!E8</f>
        <v/>
      </c>
      <c r="F12" s="66">
        <f>'Senaryo Analizi'!H8</f>
        <v/>
      </c>
      <c r="G12" s="65">
        <f>'Senaryo Analizi'!J8</f>
        <v/>
      </c>
      <c r="H12" s="65">
        <f>'Senaryo Analizi'!L8</f>
        <v/>
      </c>
      <c r="J12" s="69" t="inlineStr">
        <is>
          <t>Dil Karışımı</t>
        </is>
      </c>
      <c r="K12" s="94">
        <f>COUNTIF('Test Log'!L$5:L$204,J12)</f>
        <v/>
      </c>
    </row>
    <row r="13" ht="15" customHeight="1" s="49">
      <c r="B13" s="70">
        <f>'Senaryo Analizi'!A9</f>
        <v/>
      </c>
      <c r="C13" s="69">
        <f>'Senaryo Analizi'!B9</f>
        <v/>
      </c>
      <c r="D13" s="70">
        <f>'Senaryo Analizi'!D9</f>
        <v/>
      </c>
      <c r="E13" s="70">
        <f>'Senaryo Analizi'!E9</f>
        <v/>
      </c>
      <c r="F13" s="71">
        <f>'Senaryo Analizi'!H9</f>
        <v/>
      </c>
      <c r="G13" s="70">
        <f>'Senaryo Analizi'!J9</f>
        <v/>
      </c>
      <c r="H13" s="70">
        <f>'Senaryo Analizi'!L9</f>
        <v/>
      </c>
      <c r="J13" s="64" t="inlineStr">
        <is>
          <t>Diğer</t>
        </is>
      </c>
      <c r="K13" s="93">
        <f>COUNTIF('Test Log'!L$5:L$204,J13)</f>
        <v/>
      </c>
    </row>
    <row r="14" ht="15" customHeight="1" s="49">
      <c r="B14" s="65">
        <f>'Senaryo Analizi'!A10</f>
        <v/>
      </c>
      <c r="C14" s="64">
        <f>'Senaryo Analizi'!B10</f>
        <v/>
      </c>
      <c r="D14" s="65">
        <f>'Senaryo Analizi'!D10</f>
        <v/>
      </c>
      <c r="E14" s="65">
        <f>'Senaryo Analizi'!E10</f>
        <v/>
      </c>
      <c r="F14" s="66">
        <f>'Senaryo Analizi'!H10</f>
        <v/>
      </c>
      <c r="G14" s="65">
        <f>'Senaryo Analizi'!J10</f>
        <v/>
      </c>
      <c r="H14" s="65">
        <f>'Senaryo Analizi'!L10</f>
        <v/>
      </c>
    </row>
    <row r="15" ht="15" customHeight="1" s="49">
      <c r="B15" s="70">
        <f>'Senaryo Analizi'!A11</f>
        <v/>
      </c>
      <c r="C15" s="69">
        <f>'Senaryo Analizi'!B11</f>
        <v/>
      </c>
      <c r="D15" s="70">
        <f>'Senaryo Analizi'!D11</f>
        <v/>
      </c>
      <c r="E15" s="70">
        <f>'Senaryo Analizi'!E11</f>
        <v/>
      </c>
      <c r="F15" s="71">
        <f>'Senaryo Analizi'!H11</f>
        <v/>
      </c>
      <c r="G15" s="70">
        <f>'Senaryo Analizi'!J11</f>
        <v/>
      </c>
      <c r="H15" s="70">
        <f>'Senaryo Analizi'!L11</f>
        <v/>
      </c>
      <c r="J15" s="95" t="inlineStr">
        <is>
          <t>KULLANIM KILAVUZU
1. Test Log → Her test için bir satır doldur
2. Halüsinasyon varsa 'Evet' işaretle + tipi seç
3. Halüsinasyon Detay → Ayrıntılı kayıt gir
4. Dashboard otomatik güncellenir
5. 🚩 flagli satırlar öncelikli incelenmeli
Risk Seviyeleri:
🔴 Yüksek  → Hal. oranı &gt; %30
🟡 Orta    → Hal. oranı %10–30
🟢 Düşük   → Hal. oranı &lt; %10</t>
        </is>
      </c>
      <c r="K15" s="96" t="n"/>
      <c r="L15" s="96" t="n"/>
      <c r="M15" s="96" t="n"/>
      <c r="N15" s="96" t="n"/>
    </row>
    <row r="16" ht="15" customHeight="1" s="49">
      <c r="B16" s="65">
        <f>'Senaryo Analizi'!A12</f>
        <v/>
      </c>
      <c r="C16" s="64">
        <f>'Senaryo Analizi'!B12</f>
        <v/>
      </c>
      <c r="D16" s="65">
        <f>'Senaryo Analizi'!D12</f>
        <v/>
      </c>
      <c r="E16" s="65">
        <f>'Senaryo Analizi'!E12</f>
        <v/>
      </c>
      <c r="F16" s="66">
        <f>'Senaryo Analizi'!H12</f>
        <v/>
      </c>
      <c r="G16" s="65">
        <f>'Senaryo Analizi'!J12</f>
        <v/>
      </c>
      <c r="H16" s="65">
        <f>'Senaryo Analizi'!L12</f>
        <v/>
      </c>
      <c r="J16" s="97" t="n"/>
    </row>
    <row r="17" ht="15" customHeight="1" s="49">
      <c r="B17" s="70">
        <f>'Senaryo Analizi'!A13</f>
        <v/>
      </c>
      <c r="C17" s="69">
        <f>'Senaryo Analizi'!B13</f>
        <v/>
      </c>
      <c r="D17" s="70">
        <f>'Senaryo Analizi'!D13</f>
        <v/>
      </c>
      <c r="E17" s="70">
        <f>'Senaryo Analizi'!E13</f>
        <v/>
      </c>
      <c r="F17" s="71">
        <f>'Senaryo Analizi'!H13</f>
        <v/>
      </c>
      <c r="G17" s="70">
        <f>'Senaryo Analizi'!J13</f>
        <v/>
      </c>
      <c r="H17" s="70">
        <f>'Senaryo Analizi'!L13</f>
        <v/>
      </c>
      <c r="J17" s="97" t="n"/>
    </row>
    <row r="18" ht="15" customHeight="1" s="49">
      <c r="B18" s="65">
        <f>'Senaryo Analizi'!A14</f>
        <v/>
      </c>
      <c r="C18" s="64">
        <f>'Senaryo Analizi'!B14</f>
        <v/>
      </c>
      <c r="D18" s="65">
        <f>'Senaryo Analizi'!D14</f>
        <v/>
      </c>
      <c r="E18" s="65">
        <f>'Senaryo Analizi'!E14</f>
        <v/>
      </c>
      <c r="F18" s="66">
        <f>'Senaryo Analizi'!H14</f>
        <v/>
      </c>
      <c r="G18" s="65">
        <f>'Senaryo Analizi'!J14</f>
        <v/>
      </c>
      <c r="H18" s="65">
        <f>'Senaryo Analizi'!L14</f>
        <v/>
      </c>
      <c r="J18" s="97" t="n"/>
    </row>
    <row r="19" ht="15" customHeight="1" s="49">
      <c r="B19" s="70">
        <f>'Senaryo Analizi'!A15</f>
        <v/>
      </c>
      <c r="C19" s="69">
        <f>'Senaryo Analizi'!B15</f>
        <v/>
      </c>
      <c r="D19" s="70">
        <f>'Senaryo Analizi'!D15</f>
        <v/>
      </c>
      <c r="E19" s="70">
        <f>'Senaryo Analizi'!E15</f>
        <v/>
      </c>
      <c r="F19" s="71">
        <f>'Senaryo Analizi'!H15</f>
        <v/>
      </c>
      <c r="G19" s="70">
        <f>'Senaryo Analizi'!J15</f>
        <v/>
      </c>
      <c r="H19" s="70">
        <f>'Senaryo Analizi'!L15</f>
        <v/>
      </c>
      <c r="J19" s="97" t="n"/>
    </row>
    <row r="20" ht="15" customHeight="1" s="49">
      <c r="B20" s="65">
        <f>'Senaryo Analizi'!A16</f>
        <v/>
      </c>
      <c r="C20" s="64">
        <f>'Senaryo Analizi'!B16</f>
        <v/>
      </c>
      <c r="D20" s="65">
        <f>'Senaryo Analizi'!D16</f>
        <v/>
      </c>
      <c r="E20" s="65">
        <f>'Senaryo Analizi'!E16</f>
        <v/>
      </c>
      <c r="F20" s="66">
        <f>'Senaryo Analizi'!H16</f>
        <v/>
      </c>
      <c r="G20" s="65">
        <f>'Senaryo Analizi'!J16</f>
        <v/>
      </c>
      <c r="H20" s="65">
        <f>'Senaryo Analizi'!L16</f>
        <v/>
      </c>
      <c r="J20" s="97" t="n"/>
    </row>
    <row r="21" ht="15" customHeight="1" s="49">
      <c r="B21" s="70">
        <f>'Senaryo Analizi'!A17</f>
        <v/>
      </c>
      <c r="C21" s="69">
        <f>'Senaryo Analizi'!B17</f>
        <v/>
      </c>
      <c r="D21" s="70">
        <f>'Senaryo Analizi'!D17</f>
        <v/>
      </c>
      <c r="E21" s="70">
        <f>'Senaryo Analizi'!E17</f>
        <v/>
      </c>
      <c r="F21" s="71">
        <f>'Senaryo Analizi'!H17</f>
        <v/>
      </c>
      <c r="G21" s="70">
        <f>'Senaryo Analizi'!J17</f>
        <v/>
      </c>
      <c r="H21" s="70">
        <f>'Senaryo Analizi'!L17</f>
        <v/>
      </c>
      <c r="J21" s="97" t="n"/>
    </row>
    <row r="22" ht="11.9" customHeight="1" s="49">
      <c r="B22" s="65">
        <f>'Senaryo Analizi'!A18</f>
        <v/>
      </c>
      <c r="C22" s="64">
        <f>'Senaryo Analizi'!B18</f>
        <v/>
      </c>
      <c r="D22" s="65">
        <f>'Senaryo Analizi'!D18</f>
        <v/>
      </c>
      <c r="E22" s="65">
        <f>'Senaryo Analizi'!E18</f>
        <v/>
      </c>
      <c r="F22" s="66">
        <f>'Senaryo Analizi'!H18</f>
        <v/>
      </c>
      <c r="G22" s="65">
        <f>'Senaryo Analizi'!J18</f>
        <v/>
      </c>
      <c r="H22" s="65">
        <f>'Senaryo Analizi'!L18</f>
        <v/>
      </c>
      <c r="J22" s="97" t="n"/>
    </row>
    <row r="23" ht="15" customHeight="1" s="49">
      <c r="B23" s="70">
        <f>'Senaryo Analizi'!A19</f>
        <v/>
      </c>
      <c r="C23" s="69">
        <f>'Senaryo Analizi'!B19</f>
        <v/>
      </c>
      <c r="D23" s="70">
        <f>'Senaryo Analizi'!D19</f>
        <v/>
      </c>
      <c r="E23" s="70">
        <f>'Senaryo Analizi'!E19</f>
        <v/>
      </c>
      <c r="F23" s="71">
        <f>'Senaryo Analizi'!H19</f>
        <v/>
      </c>
      <c r="G23" s="70">
        <f>'Senaryo Analizi'!J19</f>
        <v/>
      </c>
      <c r="H23" s="70">
        <f>'Senaryo Analizi'!L19</f>
        <v/>
      </c>
    </row>
  </sheetData>
  <mergeCells count="5">
    <mergeCell ref="J7:N7"/>
    <mergeCell ref="A2:N2"/>
    <mergeCell ref="J15:N22"/>
    <mergeCell ref="B7:H7"/>
    <mergeCell ref="A1:N1"/>
  </mergeCells>
  <conditionalFormatting sqref="F9:F23">
    <cfRule type="colorScale" priority="2">
      <colorScale>
        <cfvo type="num" val="0"/>
        <cfvo type="num" val="0.5"/>
        <cfvo type="num" val="1"/>
        <color rgb="FFE74C3C"/>
        <color rgb="FFF39C12"/>
        <color rgb="FF27AE60"/>
      </colorScale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2026-05-06T08:49:56Z</dcterms:created>
  <dcterms:modified xsi:type="dcterms:W3CDTF">2026-05-06T11:16:54Z</dcterms:modified>
  <cp:revision>0</cp:revision>
</cp:coreProperties>
</file>